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royectos Github\"/>
    </mc:Choice>
  </mc:AlternateContent>
  <xr:revisionPtr revIDLastSave="0" documentId="13_ncr:1_{F1BB0CB3-0F9B-4DA9-9ED5-1F0F6C3D9DDB}" xr6:coauthVersionLast="47" xr6:coauthVersionMax="47" xr10:uidLastSave="{00000000-0000-0000-0000-000000000000}"/>
  <bookViews>
    <workbookView xWindow="15150" yWindow="2400" windowWidth="8850" windowHeight="9945" xr2:uid="{695819E3-44E3-4DF4-8A9D-17AD4227628E}"/>
  </bookViews>
  <sheets>
    <sheet name="T.ventas" sheetId="1" r:id="rId1"/>
    <sheet name="T.product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A12" i="2"/>
  <c r="G2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58" i="1"/>
  <c r="G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422" i="1"/>
  <c r="G426" i="1"/>
  <c r="G430" i="1"/>
  <c r="G434" i="1"/>
  <c r="G438" i="1"/>
  <c r="G442" i="1"/>
  <c r="G446" i="1"/>
  <c r="G450" i="1"/>
  <c r="G454" i="1"/>
  <c r="G458" i="1"/>
  <c r="G462" i="1"/>
  <c r="G466" i="1"/>
  <c r="G470" i="1"/>
  <c r="G474" i="1"/>
  <c r="G478" i="1"/>
  <c r="G482" i="1"/>
  <c r="G486" i="1"/>
  <c r="G490" i="1"/>
  <c r="G494" i="1"/>
  <c r="G498" i="1"/>
  <c r="G502" i="1"/>
  <c r="G506" i="1"/>
  <c r="G3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4" i="1"/>
  <c r="G8" i="1"/>
  <c r="G12" i="1"/>
  <c r="G16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08" i="1"/>
  <c r="G112" i="1"/>
  <c r="G116" i="1"/>
  <c r="G120" i="1"/>
  <c r="G124" i="1"/>
  <c r="G128" i="1"/>
  <c r="G132" i="1"/>
  <c r="G136" i="1"/>
  <c r="G140" i="1"/>
  <c r="G144" i="1"/>
  <c r="G148" i="1"/>
  <c r="G152" i="1"/>
  <c r="G156" i="1"/>
  <c r="G160" i="1"/>
  <c r="G164" i="1"/>
  <c r="G168" i="1"/>
  <c r="G172" i="1"/>
  <c r="G176" i="1"/>
  <c r="G180" i="1"/>
  <c r="G184" i="1"/>
  <c r="G188" i="1"/>
  <c r="G192" i="1"/>
  <c r="G196" i="1"/>
  <c r="G200" i="1"/>
  <c r="G204" i="1"/>
  <c r="G208" i="1"/>
  <c r="G212" i="1"/>
  <c r="G216" i="1"/>
  <c r="G220" i="1"/>
  <c r="G224" i="1"/>
  <c r="G228" i="1"/>
  <c r="G232" i="1"/>
  <c r="G236" i="1"/>
  <c r="G240" i="1"/>
  <c r="G244" i="1"/>
  <c r="G248" i="1"/>
  <c r="G252" i="1"/>
  <c r="G256" i="1"/>
  <c r="G260" i="1"/>
  <c r="G264" i="1"/>
  <c r="G268" i="1"/>
  <c r="G272" i="1"/>
  <c r="G276" i="1"/>
  <c r="G280" i="1"/>
  <c r="G284" i="1"/>
  <c r="G288" i="1"/>
  <c r="G292" i="1"/>
  <c r="G296" i="1"/>
  <c r="G300" i="1"/>
  <c r="G304" i="1"/>
  <c r="G308" i="1"/>
  <c r="G312" i="1"/>
  <c r="G316" i="1"/>
  <c r="G320" i="1"/>
  <c r="G324" i="1"/>
  <c r="G328" i="1"/>
  <c r="G332" i="1"/>
  <c r="G336" i="1"/>
  <c r="G340" i="1"/>
  <c r="G344" i="1"/>
  <c r="G348" i="1"/>
  <c r="G352" i="1"/>
  <c r="G356" i="1"/>
  <c r="G360" i="1"/>
  <c r="G364" i="1"/>
  <c r="G368" i="1"/>
  <c r="G372" i="1"/>
  <c r="G376" i="1"/>
  <c r="G380" i="1"/>
  <c r="G384" i="1"/>
  <c r="G388" i="1"/>
  <c r="G392" i="1"/>
  <c r="G396" i="1"/>
  <c r="G400" i="1"/>
  <c r="G404" i="1"/>
  <c r="G408" i="1"/>
  <c r="G412" i="1"/>
  <c r="G416" i="1"/>
  <c r="G420" i="1"/>
  <c r="G424" i="1"/>
  <c r="G428" i="1"/>
  <c r="G432" i="1"/>
  <c r="G436" i="1"/>
  <c r="G440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277" i="1"/>
  <c r="G281" i="1"/>
  <c r="G285" i="1"/>
  <c r="G289" i="1"/>
  <c r="G293" i="1"/>
  <c r="G297" i="1"/>
  <c r="G301" i="1"/>
  <c r="G305" i="1"/>
  <c r="G309" i="1"/>
  <c r="G313" i="1"/>
  <c r="G317" i="1"/>
  <c r="G321" i="1"/>
  <c r="G325" i="1"/>
  <c r="G329" i="1"/>
  <c r="G333" i="1"/>
  <c r="G337" i="1"/>
  <c r="G341" i="1"/>
  <c r="G345" i="1"/>
  <c r="G349" i="1"/>
  <c r="G353" i="1"/>
  <c r="G357" i="1"/>
  <c r="G361" i="1"/>
  <c r="G365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429" i="1"/>
  <c r="G433" i="1"/>
  <c r="G437" i="1"/>
  <c r="G441" i="1"/>
  <c r="G445" i="1"/>
  <c r="G371" i="1"/>
  <c r="G387" i="1"/>
  <c r="G403" i="1"/>
  <c r="G419" i="1"/>
  <c r="G435" i="1"/>
  <c r="G447" i="1"/>
  <c r="G452" i="1"/>
  <c r="G457" i="1"/>
  <c r="G463" i="1"/>
  <c r="G468" i="1"/>
  <c r="G473" i="1"/>
  <c r="G479" i="1"/>
  <c r="G484" i="1"/>
  <c r="G489" i="1"/>
  <c r="G495" i="1"/>
  <c r="G500" i="1"/>
  <c r="G505" i="1"/>
  <c r="G510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375" i="1"/>
  <c r="G391" i="1"/>
  <c r="G407" i="1"/>
  <c r="G423" i="1"/>
  <c r="G439" i="1"/>
  <c r="G448" i="1"/>
  <c r="G453" i="1"/>
  <c r="G459" i="1"/>
  <c r="G464" i="1"/>
  <c r="G469" i="1"/>
  <c r="G475" i="1"/>
  <c r="G480" i="1"/>
  <c r="G485" i="1"/>
  <c r="G491" i="1"/>
  <c r="G496" i="1"/>
  <c r="G501" i="1"/>
  <c r="G507" i="1"/>
  <c r="G511" i="1"/>
  <c r="G515" i="1"/>
  <c r="G519" i="1"/>
  <c r="G523" i="1"/>
  <c r="G527" i="1"/>
  <c r="G531" i="1"/>
  <c r="G535" i="1"/>
  <c r="G539" i="1"/>
  <c r="G543" i="1"/>
  <c r="G547" i="1"/>
  <c r="G551" i="1"/>
  <c r="G555" i="1"/>
  <c r="G559" i="1"/>
  <c r="G563" i="1"/>
  <c r="G567" i="1"/>
  <c r="G571" i="1"/>
  <c r="G575" i="1"/>
  <c r="G579" i="1"/>
  <c r="G583" i="1"/>
  <c r="G587" i="1"/>
  <c r="G591" i="1"/>
  <c r="G595" i="1"/>
  <c r="G599" i="1"/>
  <c r="G603" i="1"/>
  <c r="G607" i="1"/>
  <c r="G611" i="1"/>
  <c r="G615" i="1"/>
  <c r="G619" i="1"/>
  <c r="G623" i="1"/>
  <c r="G627" i="1"/>
  <c r="G631" i="1"/>
  <c r="G635" i="1"/>
  <c r="G639" i="1"/>
  <c r="G643" i="1"/>
  <c r="G647" i="1"/>
  <c r="G651" i="1"/>
  <c r="G655" i="1"/>
  <c r="G659" i="1"/>
  <c r="G663" i="1"/>
  <c r="G667" i="1"/>
  <c r="G671" i="1"/>
  <c r="G675" i="1"/>
  <c r="G679" i="1"/>
  <c r="G683" i="1"/>
  <c r="G687" i="1"/>
  <c r="G691" i="1"/>
  <c r="G695" i="1"/>
  <c r="G699" i="1"/>
  <c r="G703" i="1"/>
  <c r="G707" i="1"/>
  <c r="G711" i="1"/>
  <c r="G715" i="1"/>
  <c r="G719" i="1"/>
  <c r="G723" i="1"/>
  <c r="G727" i="1"/>
  <c r="G731" i="1"/>
  <c r="G735" i="1"/>
  <c r="G739" i="1"/>
  <c r="G743" i="1"/>
  <c r="G747" i="1"/>
  <c r="G751" i="1"/>
  <c r="G755" i="1"/>
  <c r="G759" i="1"/>
  <c r="G763" i="1"/>
  <c r="G767" i="1"/>
  <c r="G771" i="1"/>
  <c r="G775" i="1"/>
  <c r="G779" i="1"/>
  <c r="G783" i="1"/>
  <c r="G787" i="1"/>
  <c r="G791" i="1"/>
  <c r="G795" i="1"/>
  <c r="G799" i="1"/>
  <c r="G803" i="1"/>
  <c r="G807" i="1"/>
  <c r="G811" i="1"/>
  <c r="G815" i="1"/>
  <c r="G819" i="1"/>
  <c r="G823" i="1"/>
  <c r="G827" i="1"/>
  <c r="G831" i="1"/>
  <c r="G835" i="1"/>
  <c r="G839" i="1"/>
  <c r="G843" i="1"/>
  <c r="G847" i="1"/>
  <c r="G851" i="1"/>
  <c r="G855" i="1"/>
  <c r="G859" i="1"/>
  <c r="G863" i="1"/>
  <c r="G867" i="1"/>
  <c r="G871" i="1"/>
  <c r="G875" i="1"/>
  <c r="G879" i="1"/>
  <c r="G883" i="1"/>
  <c r="G887" i="1"/>
  <c r="G891" i="1"/>
  <c r="G379" i="1"/>
  <c r="G395" i="1"/>
  <c r="G411" i="1"/>
  <c r="G427" i="1"/>
  <c r="G443" i="1"/>
  <c r="G449" i="1"/>
  <c r="G455" i="1"/>
  <c r="G460" i="1"/>
  <c r="G465" i="1"/>
  <c r="G471" i="1"/>
  <c r="G476" i="1"/>
  <c r="G481" i="1"/>
  <c r="G487" i="1"/>
  <c r="G492" i="1"/>
  <c r="G497" i="1"/>
  <c r="G503" i="1"/>
  <c r="G508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872" i="1"/>
  <c r="G876" i="1"/>
  <c r="G880" i="1"/>
  <c r="G884" i="1"/>
  <c r="G888" i="1"/>
  <c r="G892" i="1"/>
  <c r="G896" i="1"/>
  <c r="G900" i="1"/>
  <c r="G904" i="1"/>
  <c r="G908" i="1"/>
  <c r="G912" i="1"/>
  <c r="G916" i="1"/>
  <c r="G920" i="1"/>
  <c r="G924" i="1"/>
  <c r="G928" i="1"/>
  <c r="G932" i="1"/>
  <c r="G936" i="1"/>
  <c r="G940" i="1"/>
  <c r="G944" i="1"/>
  <c r="G948" i="1"/>
  <c r="G383" i="1"/>
  <c r="G399" i="1"/>
  <c r="G451" i="1"/>
  <c r="G472" i="1"/>
  <c r="G493" i="1"/>
  <c r="G513" i="1"/>
  <c r="G529" i="1"/>
  <c r="G545" i="1"/>
  <c r="G561" i="1"/>
  <c r="G577" i="1"/>
  <c r="G593" i="1"/>
  <c r="G609" i="1"/>
  <c r="G625" i="1"/>
  <c r="G641" i="1"/>
  <c r="G657" i="1"/>
  <c r="G673" i="1"/>
  <c r="G689" i="1"/>
  <c r="G705" i="1"/>
  <c r="G721" i="1"/>
  <c r="G737" i="1"/>
  <c r="G753" i="1"/>
  <c r="G769" i="1"/>
  <c r="G785" i="1"/>
  <c r="G801" i="1"/>
  <c r="G817" i="1"/>
  <c r="G833" i="1"/>
  <c r="G849" i="1"/>
  <c r="G861" i="1"/>
  <c r="G869" i="1"/>
  <c r="G877" i="1"/>
  <c r="G885" i="1"/>
  <c r="G893" i="1"/>
  <c r="G898" i="1"/>
  <c r="G903" i="1"/>
  <c r="G909" i="1"/>
  <c r="G914" i="1"/>
  <c r="G919" i="1"/>
  <c r="G925" i="1"/>
  <c r="G930" i="1"/>
  <c r="G935" i="1"/>
  <c r="G941" i="1"/>
  <c r="G946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988" i="1"/>
  <c r="G992" i="1"/>
  <c r="G1000" i="1"/>
  <c r="G923" i="1"/>
  <c r="G954" i="1"/>
  <c r="G966" i="1"/>
  <c r="G982" i="1"/>
  <c r="G990" i="1"/>
  <c r="G415" i="1"/>
  <c r="G456" i="1"/>
  <c r="G477" i="1"/>
  <c r="G499" i="1"/>
  <c r="G517" i="1"/>
  <c r="G533" i="1"/>
  <c r="G549" i="1"/>
  <c r="G565" i="1"/>
  <c r="G581" i="1"/>
  <c r="G597" i="1"/>
  <c r="G613" i="1"/>
  <c r="G629" i="1"/>
  <c r="G645" i="1"/>
  <c r="G661" i="1"/>
  <c r="G677" i="1"/>
  <c r="G693" i="1"/>
  <c r="G709" i="1"/>
  <c r="G725" i="1"/>
  <c r="G741" i="1"/>
  <c r="G757" i="1"/>
  <c r="G773" i="1"/>
  <c r="G789" i="1"/>
  <c r="G805" i="1"/>
  <c r="G821" i="1"/>
  <c r="G837" i="1"/>
  <c r="G853" i="1"/>
  <c r="G862" i="1"/>
  <c r="G870" i="1"/>
  <c r="G878" i="1"/>
  <c r="G886" i="1"/>
  <c r="G894" i="1"/>
  <c r="G899" i="1"/>
  <c r="G905" i="1"/>
  <c r="G910" i="1"/>
  <c r="G915" i="1"/>
  <c r="G921" i="1"/>
  <c r="G926" i="1"/>
  <c r="G931" i="1"/>
  <c r="G937" i="1"/>
  <c r="G942" i="1"/>
  <c r="G947" i="1"/>
  <c r="G952" i="1"/>
  <c r="G956" i="1"/>
  <c r="G960" i="1"/>
  <c r="G964" i="1"/>
  <c r="G968" i="1"/>
  <c r="G972" i="1"/>
  <c r="G976" i="1"/>
  <c r="G980" i="1"/>
  <c r="G984" i="1"/>
  <c r="G996" i="1"/>
  <c r="G929" i="1"/>
  <c r="G950" i="1"/>
  <c r="G970" i="1"/>
  <c r="G978" i="1"/>
  <c r="G994" i="1"/>
  <c r="G431" i="1"/>
  <c r="G461" i="1"/>
  <c r="G483" i="1"/>
  <c r="G504" i="1"/>
  <c r="G521" i="1"/>
  <c r="G537" i="1"/>
  <c r="G553" i="1"/>
  <c r="G569" i="1"/>
  <c r="G585" i="1"/>
  <c r="G601" i="1"/>
  <c r="G617" i="1"/>
  <c r="G633" i="1"/>
  <c r="G649" i="1"/>
  <c r="G665" i="1"/>
  <c r="G681" i="1"/>
  <c r="G697" i="1"/>
  <c r="G713" i="1"/>
  <c r="G729" i="1"/>
  <c r="G745" i="1"/>
  <c r="G761" i="1"/>
  <c r="G777" i="1"/>
  <c r="G793" i="1"/>
  <c r="G809" i="1"/>
  <c r="G825" i="1"/>
  <c r="G841" i="1"/>
  <c r="G857" i="1"/>
  <c r="G865" i="1"/>
  <c r="G873" i="1"/>
  <c r="G881" i="1"/>
  <c r="G889" i="1"/>
  <c r="G895" i="1"/>
  <c r="G901" i="1"/>
  <c r="G906" i="1"/>
  <c r="G911" i="1"/>
  <c r="G917" i="1"/>
  <c r="G922" i="1"/>
  <c r="G927" i="1"/>
  <c r="G933" i="1"/>
  <c r="G938" i="1"/>
  <c r="G943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467" i="1"/>
  <c r="G488" i="1"/>
  <c r="G509" i="1"/>
  <c r="G525" i="1"/>
  <c r="G541" i="1"/>
  <c r="G557" i="1"/>
  <c r="G573" i="1"/>
  <c r="G589" i="1"/>
  <c r="G605" i="1"/>
  <c r="G621" i="1"/>
  <c r="G637" i="1"/>
  <c r="G653" i="1"/>
  <c r="G669" i="1"/>
  <c r="G685" i="1"/>
  <c r="G701" i="1"/>
  <c r="G717" i="1"/>
  <c r="G733" i="1"/>
  <c r="G749" i="1"/>
  <c r="G765" i="1"/>
  <c r="G781" i="1"/>
  <c r="G797" i="1"/>
  <c r="G813" i="1"/>
  <c r="G829" i="1"/>
  <c r="G845" i="1"/>
  <c r="G858" i="1"/>
  <c r="G866" i="1"/>
  <c r="G874" i="1"/>
  <c r="G882" i="1"/>
  <c r="G890" i="1"/>
  <c r="G897" i="1"/>
  <c r="G902" i="1"/>
  <c r="G907" i="1"/>
  <c r="G913" i="1"/>
  <c r="G918" i="1"/>
  <c r="G934" i="1"/>
  <c r="G939" i="1"/>
  <c r="G945" i="1"/>
  <c r="G958" i="1"/>
  <c r="G962" i="1"/>
  <c r="G974" i="1"/>
  <c r="G986" i="1"/>
  <c r="G998" i="1"/>
  <c r="G444" i="1"/>
</calcChain>
</file>

<file path=xl/sharedStrings.xml><?xml version="1.0" encoding="utf-8"?>
<sst xmlns="http://schemas.openxmlformats.org/spreadsheetml/2006/main" count="26" uniqueCount="24">
  <si>
    <t>Cod vendedor</t>
  </si>
  <si>
    <t>Cod Producto</t>
  </si>
  <si>
    <t>Kilos</t>
  </si>
  <si>
    <t>Precio</t>
  </si>
  <si>
    <t>Costo</t>
  </si>
  <si>
    <t>Margen Beneficio Bruto</t>
  </si>
  <si>
    <t>Fecha</t>
  </si>
  <si>
    <t>idProducto</t>
  </si>
  <si>
    <t>NomProducto</t>
  </si>
  <si>
    <t>IdGrupo</t>
  </si>
  <si>
    <t>Mandarinas</t>
  </si>
  <si>
    <t>Lechugas</t>
  </si>
  <si>
    <t>Melones</t>
  </si>
  <si>
    <t>Coles</t>
  </si>
  <si>
    <t>Berenjenas</t>
  </si>
  <si>
    <t>Platanos</t>
  </si>
  <si>
    <t>Tomates</t>
  </si>
  <si>
    <t>Uvas</t>
  </si>
  <si>
    <t>Esparragos</t>
  </si>
  <si>
    <t>Zanahorias</t>
  </si>
  <si>
    <t>Naranjas</t>
  </si>
  <si>
    <t>Melocotones</t>
  </si>
  <si>
    <t>Pimientos</t>
  </si>
  <si>
    <t>Manzanas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</si>
</sst>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S/.&quot;\ * #,##0.00_ ;_ &quot;S/.&quot;\ * \-#,##0.00_ ;_ &quot;S/.&quot;\ * &quot;-&quot;??_ ;_ @_ "/>
    <numFmt numFmtId="166" formatCode="###,###.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166" fontId="0" fillId="0" borderId="0" xfId="0" applyNumberFormat="1"/>
    <xf numFmtId="44" fontId="0" fillId="0" borderId="0" xfId="1" applyFont="1"/>
    <xf numFmtId="9" fontId="0" fillId="0" borderId="0" xfId="2" applyFont="1"/>
    <xf numFmtId="0" fontId="0" fillId="2" borderId="1" xfId="0" applyFont="1" applyFill="1" applyBorder="1"/>
    <xf numFmtId="0" fontId="0" fillId="2" borderId="2" xfId="0" applyFont="1" applyFill="1" applyBorder="1"/>
    <xf numFmtId="14" fontId="0" fillId="2" borderId="2" xfId="0" applyNumberFormat="1" applyFont="1" applyFill="1" applyBorder="1"/>
    <xf numFmtId="166" fontId="0" fillId="2" borderId="2" xfId="0" applyNumberFormat="1" applyFont="1" applyFill="1" applyBorder="1"/>
    <xf numFmtId="44" fontId="0" fillId="3" borderId="0" xfId="1" applyFont="1" applyFill="1"/>
    <xf numFmtId="9" fontId="0" fillId="3" borderId="0" xfId="2" applyFont="1" applyFill="1"/>
    <xf numFmtId="0" fontId="0" fillId="3" borderId="1" xfId="0" applyFont="1" applyFill="1" applyBorder="1"/>
    <xf numFmtId="0" fontId="0" fillId="3" borderId="2" xfId="0" applyFont="1" applyFill="1" applyBorder="1"/>
    <xf numFmtId="14" fontId="0" fillId="3" borderId="2" xfId="0" applyNumberFormat="1" applyFont="1" applyFill="1" applyBorder="1"/>
    <xf numFmtId="166" fontId="0" fillId="3" borderId="2" xfId="0" applyNumberFormat="1" applyFont="1" applyFill="1" applyBorder="1"/>
    <xf numFmtId="0" fontId="0" fillId="4" borderId="0" xfId="0" applyFill="1"/>
    <xf numFmtId="166" fontId="0" fillId="4" borderId="0" xfId="0" applyNumberFormat="1" applyFill="1"/>
    <xf numFmtId="44" fontId="0" fillId="4" borderId="0" xfId="1" applyFont="1" applyFill="1"/>
    <xf numFmtId="9" fontId="0" fillId="4" borderId="0" xfId="2" applyFont="1" applyFill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</xdr:row>
          <xdr:rowOff>114300</xdr:rowOff>
        </xdr:from>
        <xdr:to>
          <xdr:col>9</xdr:col>
          <xdr:colOff>523875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Margen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396790-D422-4335-9D40-F89777AD7A97}" name="Tabla1" displayName="Tabla1" ref="A1:E15" totalsRowShown="0">
  <autoFilter ref="A1:E15" xr:uid="{FC396790-D422-4335-9D40-F89777AD7A97}"/>
  <tableColumns count="5">
    <tableColumn id="1" xr3:uid="{CCD012FC-F47E-4A75-A961-7ECB8A4D66D8}" name="idProducto">
      <calculatedColumnFormula>+A1+1</calculatedColumnFormula>
    </tableColumn>
    <tableColumn id="2" xr3:uid="{CE5F957C-55E6-4BA9-A0C4-04384668AD51}" name="NomProducto"/>
    <tableColumn id="3" xr3:uid="{7A4D5C68-A48D-408A-882A-842FDCCE0E3C}" name="IdGrupo"/>
    <tableColumn id="4" xr3:uid="{CE4649B8-5DD4-41D5-9863-A3735E4C896C}" name="Precio"/>
    <tableColumn id="5" xr3:uid="{926A3AAD-EC7B-4B5E-BF9C-E47871099D76}" name="Cos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FB3B7-6F54-460C-B5B4-4AF37D2978F6}">
  <sheetPr codeName="Hoja1"/>
  <dimension ref="A1:G1001"/>
  <sheetViews>
    <sheetView tabSelected="1" workbookViewId="0">
      <selection activeCell="C7" sqref="C7"/>
    </sheetView>
  </sheetViews>
  <sheetFormatPr baseColWidth="10" defaultRowHeight="15" x14ac:dyDescent="0.25"/>
  <cols>
    <col min="1" max="1" width="15.5703125" customWidth="1"/>
    <col min="2" max="2" width="15" customWidth="1"/>
    <col min="4" max="4" width="11.42578125" style="1"/>
    <col min="5" max="5" width="11.85546875" style="2" bestFit="1" customWidth="1"/>
    <col min="6" max="6" width="11.42578125" style="2"/>
    <col min="7" max="7" width="24.140625" style="3" customWidth="1"/>
  </cols>
  <sheetData>
    <row r="1" spans="1:7" x14ac:dyDescent="0.25">
      <c r="A1" s="14" t="s">
        <v>0</v>
      </c>
      <c r="B1" s="14" t="s">
        <v>1</v>
      </c>
      <c r="C1" s="14" t="s">
        <v>6</v>
      </c>
      <c r="D1" s="15" t="s">
        <v>2</v>
      </c>
      <c r="E1" s="16" t="s">
        <v>3</v>
      </c>
      <c r="F1" s="16" t="s">
        <v>4</v>
      </c>
      <c r="G1" s="17" t="s">
        <v>5</v>
      </c>
    </row>
    <row r="2" spans="1:7" x14ac:dyDescent="0.25">
      <c r="A2" s="4">
        <v>4</v>
      </c>
      <c r="B2" s="5">
        <v>11</v>
      </c>
      <c r="C2" s="6">
        <v>41032</v>
      </c>
      <c r="D2" s="7">
        <v>1727</v>
      </c>
      <c r="E2" s="8">
        <f>VLOOKUP(B2,T.productos!$A$1:$E$15,4,0)</f>
        <v>1.21</v>
      </c>
      <c r="F2" s="8">
        <f>VLOOKUP(B2,T.productos!$A$1:$E$15,5,0)</f>
        <v>0.72</v>
      </c>
      <c r="G2" s="9">
        <f t="shared" ref="G2:G65" si="0">margen(D2,E2,F2)</f>
        <v>0.4049586776859504</v>
      </c>
    </row>
    <row r="3" spans="1:7" x14ac:dyDescent="0.25">
      <c r="A3" s="10">
        <v>4</v>
      </c>
      <c r="B3" s="11">
        <v>11</v>
      </c>
      <c r="C3" s="12">
        <v>39370</v>
      </c>
      <c r="D3" s="13">
        <v>2744</v>
      </c>
      <c r="E3" s="8">
        <f>VLOOKUP(B3,T.productos!$A$1:$E$15,4,0)</f>
        <v>1.21</v>
      </c>
      <c r="F3" s="8">
        <f>VLOOKUP(B3,T.productos!$A$1:$E$15,5,0)</f>
        <v>0.72</v>
      </c>
      <c r="G3" s="9">
        <f t="shared" si="0"/>
        <v>0.4049586776859504</v>
      </c>
    </row>
    <row r="4" spans="1:7" x14ac:dyDescent="0.25">
      <c r="A4" s="4">
        <v>4</v>
      </c>
      <c r="B4" s="5">
        <v>11</v>
      </c>
      <c r="C4" s="6">
        <v>38133</v>
      </c>
      <c r="D4" s="7">
        <v>488</v>
      </c>
      <c r="E4" s="8">
        <f>VLOOKUP(B4,T.productos!$A$1:$E$15,4,0)</f>
        <v>1.21</v>
      </c>
      <c r="F4" s="8">
        <f>VLOOKUP(B4,T.productos!$A$1:$E$15,5,0)</f>
        <v>0.72</v>
      </c>
      <c r="G4" s="9">
        <f t="shared" si="0"/>
        <v>0.4049586776859504</v>
      </c>
    </row>
    <row r="5" spans="1:7" x14ac:dyDescent="0.25">
      <c r="A5" s="10">
        <v>4</v>
      </c>
      <c r="B5" s="11">
        <v>11</v>
      </c>
      <c r="C5" s="12">
        <v>41433</v>
      </c>
      <c r="D5" s="13">
        <v>954</v>
      </c>
      <c r="E5" s="8">
        <f>VLOOKUP(B5,T.productos!$A$1:$E$15,4,0)</f>
        <v>1.21</v>
      </c>
      <c r="F5" s="8">
        <f>VLOOKUP(B5,T.productos!$A$1:$E$15,5,0)</f>
        <v>0.72</v>
      </c>
      <c r="G5" s="9">
        <f t="shared" si="0"/>
        <v>0.4049586776859504</v>
      </c>
    </row>
    <row r="6" spans="1:7" x14ac:dyDescent="0.25">
      <c r="A6" s="4">
        <v>4</v>
      </c>
      <c r="B6" s="5">
        <v>11</v>
      </c>
      <c r="C6" s="6">
        <v>41801</v>
      </c>
      <c r="D6" s="7">
        <v>600</v>
      </c>
      <c r="E6" s="8">
        <f>VLOOKUP(B6,T.productos!$A$1:$E$15,4,0)</f>
        <v>1.21</v>
      </c>
      <c r="F6" s="8">
        <f>VLOOKUP(B6,T.productos!$A$1:$E$15,5,0)</f>
        <v>0.72</v>
      </c>
      <c r="G6" s="9">
        <f t="shared" si="0"/>
        <v>0.4049586776859504</v>
      </c>
    </row>
    <row r="7" spans="1:7" x14ac:dyDescent="0.25">
      <c r="A7" s="10">
        <v>4</v>
      </c>
      <c r="B7" s="11">
        <v>11</v>
      </c>
      <c r="C7" s="12">
        <v>38937</v>
      </c>
      <c r="D7" s="13">
        <v>2081</v>
      </c>
      <c r="E7" s="8">
        <f>VLOOKUP(B7,T.productos!$A$1:$E$15,4,0)</f>
        <v>1.21</v>
      </c>
      <c r="F7" s="8">
        <f>VLOOKUP(B7,T.productos!$A$1:$E$15,5,0)</f>
        <v>0.72</v>
      </c>
      <c r="G7" s="9">
        <f t="shared" si="0"/>
        <v>0.4049586776859504</v>
      </c>
    </row>
    <row r="8" spans="1:7" x14ac:dyDescent="0.25">
      <c r="A8" s="4">
        <v>4</v>
      </c>
      <c r="B8" s="5">
        <v>11</v>
      </c>
      <c r="C8" s="6">
        <v>40732</v>
      </c>
      <c r="D8" s="7">
        <v>1336</v>
      </c>
      <c r="E8" s="8">
        <f>VLOOKUP(B8,T.productos!$A$1:$E$15,4,0)</f>
        <v>1.21</v>
      </c>
      <c r="F8" s="8">
        <f>VLOOKUP(B8,T.productos!$A$1:$E$15,5,0)</f>
        <v>0.72</v>
      </c>
      <c r="G8" s="9">
        <f t="shared" si="0"/>
        <v>0.4049586776859504</v>
      </c>
    </row>
    <row r="9" spans="1:7" x14ac:dyDescent="0.25">
      <c r="A9" s="10">
        <v>4</v>
      </c>
      <c r="B9" s="11">
        <v>11</v>
      </c>
      <c r="C9" s="12">
        <v>38010</v>
      </c>
      <c r="D9" s="13">
        <v>2408</v>
      </c>
      <c r="E9" s="8">
        <f>VLOOKUP(B9,T.productos!$A$1:$E$15,4,0)</f>
        <v>1.21</v>
      </c>
      <c r="F9" s="8">
        <f>VLOOKUP(B9,T.productos!$A$1:$E$15,5,0)</f>
        <v>0.72</v>
      </c>
      <c r="G9" s="9">
        <f t="shared" si="0"/>
        <v>0.4049586776859504</v>
      </c>
    </row>
    <row r="10" spans="1:7" x14ac:dyDescent="0.25">
      <c r="A10" s="4">
        <v>4</v>
      </c>
      <c r="B10" s="5">
        <v>11</v>
      </c>
      <c r="C10" s="6">
        <v>39506</v>
      </c>
      <c r="D10" s="7">
        <v>2203</v>
      </c>
      <c r="E10" s="8">
        <f>VLOOKUP(B10,T.productos!$A$1:$E$15,4,0)</f>
        <v>1.21</v>
      </c>
      <c r="F10" s="8">
        <f>VLOOKUP(B10,T.productos!$A$1:$E$15,5,0)</f>
        <v>0.72</v>
      </c>
      <c r="G10" s="9">
        <f t="shared" si="0"/>
        <v>0.4049586776859504</v>
      </c>
    </row>
    <row r="11" spans="1:7" x14ac:dyDescent="0.25">
      <c r="A11" s="10">
        <v>4</v>
      </c>
      <c r="B11" s="11">
        <v>11</v>
      </c>
      <c r="C11" s="12">
        <v>38637</v>
      </c>
      <c r="D11" s="13">
        <v>2783</v>
      </c>
      <c r="E11" s="8">
        <f>VLOOKUP(B11,T.productos!$A$1:$E$15,4,0)</f>
        <v>1.21</v>
      </c>
      <c r="F11" s="8">
        <f>VLOOKUP(B11,T.productos!$A$1:$E$15,5,0)</f>
        <v>0.72</v>
      </c>
      <c r="G11" s="9">
        <f t="shared" si="0"/>
        <v>0.4049586776859504</v>
      </c>
    </row>
    <row r="12" spans="1:7" x14ac:dyDescent="0.25">
      <c r="A12" s="4">
        <v>4</v>
      </c>
      <c r="B12" s="5">
        <v>12</v>
      </c>
      <c r="C12" s="6">
        <v>38790</v>
      </c>
      <c r="D12" s="7">
        <v>2225</v>
      </c>
      <c r="E12" s="8">
        <f>VLOOKUP(B12,T.productos!$A$1:$E$15,4,0)</f>
        <v>2.42</v>
      </c>
      <c r="F12" s="8">
        <f>VLOOKUP(B12,T.productos!$A$1:$E$15,5,0)</f>
        <v>1.68</v>
      </c>
      <c r="G12" s="9">
        <f t="shared" si="0"/>
        <v>0.30578512396694213</v>
      </c>
    </row>
    <row r="13" spans="1:7" x14ac:dyDescent="0.25">
      <c r="A13" s="10">
        <v>4</v>
      </c>
      <c r="B13" s="11">
        <v>12</v>
      </c>
      <c r="C13" s="12">
        <v>41860</v>
      </c>
      <c r="D13" s="13">
        <v>850</v>
      </c>
      <c r="E13" s="8">
        <f>VLOOKUP(B13,T.productos!$A$1:$E$15,4,0)</f>
        <v>2.42</v>
      </c>
      <c r="F13" s="8">
        <f>VLOOKUP(B13,T.productos!$A$1:$E$15,5,0)</f>
        <v>1.68</v>
      </c>
      <c r="G13" s="9">
        <f t="shared" si="0"/>
        <v>0.30578512396694213</v>
      </c>
    </row>
    <row r="14" spans="1:7" x14ac:dyDescent="0.25">
      <c r="A14" s="4">
        <v>4</v>
      </c>
      <c r="B14" s="5">
        <v>12</v>
      </c>
      <c r="C14" s="6">
        <v>38217</v>
      </c>
      <c r="D14" s="7">
        <v>2712</v>
      </c>
      <c r="E14" s="8">
        <f>VLOOKUP(B14,T.productos!$A$1:$E$15,4,0)</f>
        <v>2.42</v>
      </c>
      <c r="F14" s="8">
        <f>VLOOKUP(B14,T.productos!$A$1:$E$15,5,0)</f>
        <v>1.68</v>
      </c>
      <c r="G14" s="9">
        <f t="shared" si="0"/>
        <v>0.30578512396694213</v>
      </c>
    </row>
    <row r="15" spans="1:7" x14ac:dyDescent="0.25">
      <c r="A15" s="10">
        <v>4</v>
      </c>
      <c r="B15" s="11">
        <v>12</v>
      </c>
      <c r="C15" s="12">
        <v>40624</v>
      </c>
      <c r="D15" s="13">
        <v>1241</v>
      </c>
      <c r="E15" s="8">
        <f>VLOOKUP(B15,T.productos!$A$1:$E$15,4,0)</f>
        <v>2.42</v>
      </c>
      <c r="F15" s="8">
        <f>VLOOKUP(B15,T.productos!$A$1:$E$15,5,0)</f>
        <v>1.68</v>
      </c>
      <c r="G15" s="9">
        <f t="shared" si="0"/>
        <v>0.30578512396694213</v>
      </c>
    </row>
    <row r="16" spans="1:7" x14ac:dyDescent="0.25">
      <c r="A16" s="4">
        <v>4</v>
      </c>
      <c r="B16" s="5">
        <v>12</v>
      </c>
      <c r="C16" s="6">
        <v>40696</v>
      </c>
      <c r="D16" s="7">
        <v>2559</v>
      </c>
      <c r="E16" s="8">
        <f>VLOOKUP(B16,T.productos!$A$1:$E$15,4,0)</f>
        <v>2.42</v>
      </c>
      <c r="F16" s="8">
        <f>VLOOKUP(B16,T.productos!$A$1:$E$15,5,0)</f>
        <v>1.68</v>
      </c>
      <c r="G16" s="9">
        <f t="shared" si="0"/>
        <v>0.30578512396694213</v>
      </c>
    </row>
    <row r="17" spans="1:7" x14ac:dyDescent="0.25">
      <c r="A17" s="10">
        <v>4</v>
      </c>
      <c r="B17" s="11">
        <v>9</v>
      </c>
      <c r="C17" s="12">
        <v>40066</v>
      </c>
      <c r="D17" s="13">
        <v>463</v>
      </c>
      <c r="E17" s="8">
        <f>VLOOKUP(B17,T.productos!$A$1:$E$15,4,0)</f>
        <v>1.21</v>
      </c>
      <c r="F17" s="8">
        <f>VLOOKUP(B17,T.productos!$A$1:$E$15,5,0)</f>
        <v>0.36</v>
      </c>
      <c r="G17" s="9">
        <f t="shared" si="0"/>
        <v>0.7024793388429752</v>
      </c>
    </row>
    <row r="18" spans="1:7" x14ac:dyDescent="0.25">
      <c r="A18" s="4">
        <v>4</v>
      </c>
      <c r="B18" s="5">
        <v>9</v>
      </c>
      <c r="C18" s="6">
        <v>41805</v>
      </c>
      <c r="D18" s="7">
        <v>2395</v>
      </c>
      <c r="E18" s="8">
        <f>VLOOKUP(B18,T.productos!$A$1:$E$15,4,0)</f>
        <v>1.21</v>
      </c>
      <c r="F18" s="8">
        <f>VLOOKUP(B18,T.productos!$A$1:$E$15,5,0)</f>
        <v>0.36</v>
      </c>
      <c r="G18" s="9">
        <f t="shared" si="0"/>
        <v>0.7024793388429752</v>
      </c>
    </row>
    <row r="19" spans="1:7" x14ac:dyDescent="0.25">
      <c r="A19" s="10">
        <v>4</v>
      </c>
      <c r="B19" s="11">
        <v>7</v>
      </c>
      <c r="C19" s="12">
        <v>38605</v>
      </c>
      <c r="D19" s="13">
        <v>2527</v>
      </c>
      <c r="E19" s="8">
        <f>VLOOKUP(B19,T.productos!$A$1:$E$15,4,0)</f>
        <v>0.97</v>
      </c>
      <c r="F19" s="8">
        <f>VLOOKUP(B19,T.productos!$A$1:$E$15,5,0)</f>
        <v>0.19</v>
      </c>
      <c r="G19" s="9">
        <f t="shared" si="0"/>
        <v>0.80412371134020622</v>
      </c>
    </row>
    <row r="20" spans="1:7" x14ac:dyDescent="0.25">
      <c r="A20" s="4">
        <v>4</v>
      </c>
      <c r="B20" s="5">
        <v>7</v>
      </c>
      <c r="C20" s="6">
        <v>38025</v>
      </c>
      <c r="D20" s="7">
        <v>1939</v>
      </c>
      <c r="E20" s="8">
        <f>VLOOKUP(B20,T.productos!$A$1:$E$15,4,0)</f>
        <v>0.97</v>
      </c>
      <c r="F20" s="8">
        <f>VLOOKUP(B20,T.productos!$A$1:$E$15,5,0)</f>
        <v>0.19</v>
      </c>
      <c r="G20" s="9">
        <f t="shared" si="0"/>
        <v>0.80412371134020622</v>
      </c>
    </row>
    <row r="21" spans="1:7" x14ac:dyDescent="0.25">
      <c r="A21" s="10">
        <v>4</v>
      </c>
      <c r="B21" s="11">
        <v>7</v>
      </c>
      <c r="C21" s="12">
        <v>41799</v>
      </c>
      <c r="D21" s="13">
        <v>1143</v>
      </c>
      <c r="E21" s="8">
        <f>VLOOKUP(B21,T.productos!$A$1:$E$15,4,0)</f>
        <v>0.97</v>
      </c>
      <c r="F21" s="8">
        <f>VLOOKUP(B21,T.productos!$A$1:$E$15,5,0)</f>
        <v>0.19</v>
      </c>
      <c r="G21" s="9">
        <f t="shared" si="0"/>
        <v>0.80412371134020622</v>
      </c>
    </row>
    <row r="22" spans="1:7" x14ac:dyDescent="0.25">
      <c r="A22" s="4">
        <v>4</v>
      </c>
      <c r="B22" s="5">
        <v>7</v>
      </c>
      <c r="C22" s="6">
        <v>39105</v>
      </c>
      <c r="D22" s="7">
        <v>582</v>
      </c>
      <c r="E22" s="8">
        <f>VLOOKUP(B22,T.productos!$A$1:$E$15,4,0)</f>
        <v>0.97</v>
      </c>
      <c r="F22" s="8">
        <f>VLOOKUP(B22,T.productos!$A$1:$E$15,5,0)</f>
        <v>0.19</v>
      </c>
      <c r="G22" s="9">
        <f t="shared" si="0"/>
        <v>0.80412371134020622</v>
      </c>
    </row>
    <row r="23" spans="1:7" x14ac:dyDescent="0.25">
      <c r="A23" s="10">
        <v>4</v>
      </c>
      <c r="B23" s="11">
        <v>7</v>
      </c>
      <c r="C23" s="12">
        <v>39032</v>
      </c>
      <c r="D23" s="13">
        <v>2851</v>
      </c>
      <c r="E23" s="8">
        <f>VLOOKUP(B23,T.productos!$A$1:$E$15,4,0)</f>
        <v>0.97</v>
      </c>
      <c r="F23" s="8">
        <f>VLOOKUP(B23,T.productos!$A$1:$E$15,5,0)</f>
        <v>0.19</v>
      </c>
      <c r="G23" s="9">
        <f t="shared" si="0"/>
        <v>0.80412371134020622</v>
      </c>
    </row>
    <row r="24" spans="1:7" x14ac:dyDescent="0.25">
      <c r="A24" s="4">
        <v>4</v>
      </c>
      <c r="B24" s="5">
        <v>3</v>
      </c>
      <c r="C24" s="6">
        <v>38816</v>
      </c>
      <c r="D24" s="7">
        <v>1728</v>
      </c>
      <c r="E24" s="8">
        <f>VLOOKUP(B24,T.productos!$A$1:$E$15,4,0)</f>
        <v>1.94</v>
      </c>
      <c r="F24" s="8">
        <f>VLOOKUP(B24,T.productos!$A$1:$E$15,5,0)</f>
        <v>1.89</v>
      </c>
      <c r="G24" s="9">
        <f t="shared" si="0"/>
        <v>2.5773195876288658E-2</v>
      </c>
    </row>
    <row r="25" spans="1:7" x14ac:dyDescent="0.25">
      <c r="A25" s="10">
        <v>4</v>
      </c>
      <c r="B25" s="11">
        <v>3</v>
      </c>
      <c r="C25" s="12">
        <v>41859</v>
      </c>
      <c r="D25" s="13">
        <v>1715</v>
      </c>
      <c r="E25" s="8">
        <f>VLOOKUP(B25,T.productos!$A$1:$E$15,4,0)</f>
        <v>1.94</v>
      </c>
      <c r="F25" s="8">
        <f>VLOOKUP(B25,T.productos!$A$1:$E$15,5,0)</f>
        <v>1.89</v>
      </c>
      <c r="G25" s="9">
        <f t="shared" si="0"/>
        <v>2.5773195876288658E-2</v>
      </c>
    </row>
    <row r="26" spans="1:7" x14ac:dyDescent="0.25">
      <c r="A26" s="4">
        <v>4</v>
      </c>
      <c r="B26" s="5">
        <v>3</v>
      </c>
      <c r="C26" s="6">
        <v>38732</v>
      </c>
      <c r="D26" s="7">
        <v>2510</v>
      </c>
      <c r="E26" s="8">
        <f>VLOOKUP(B26,T.productos!$A$1:$E$15,4,0)</f>
        <v>1.94</v>
      </c>
      <c r="F26" s="8">
        <f>VLOOKUP(B26,T.productos!$A$1:$E$15,5,0)</f>
        <v>1.89</v>
      </c>
      <c r="G26" s="9">
        <f t="shared" si="0"/>
        <v>2.5773195876288658E-2</v>
      </c>
    </row>
    <row r="27" spans="1:7" x14ac:dyDescent="0.25">
      <c r="A27" s="10">
        <v>4</v>
      </c>
      <c r="B27" s="11">
        <v>3</v>
      </c>
      <c r="C27" s="12">
        <v>38226</v>
      </c>
      <c r="D27" s="13">
        <v>356</v>
      </c>
      <c r="E27" s="8">
        <f>VLOOKUP(B27,T.productos!$A$1:$E$15,4,0)</f>
        <v>1.94</v>
      </c>
      <c r="F27" s="8">
        <f>VLOOKUP(B27,T.productos!$A$1:$E$15,5,0)</f>
        <v>1.89</v>
      </c>
      <c r="G27" s="9">
        <f t="shared" si="0"/>
        <v>2.5773195876288658E-2</v>
      </c>
    </row>
    <row r="28" spans="1:7" x14ac:dyDescent="0.25">
      <c r="A28" s="4">
        <v>4</v>
      </c>
      <c r="B28" s="5">
        <v>3</v>
      </c>
      <c r="C28" s="6">
        <v>39156</v>
      </c>
      <c r="D28" s="7">
        <v>1690</v>
      </c>
      <c r="E28" s="8">
        <f>VLOOKUP(B28,T.productos!$A$1:$E$15,4,0)</f>
        <v>1.94</v>
      </c>
      <c r="F28" s="8">
        <f>VLOOKUP(B28,T.productos!$A$1:$E$15,5,0)</f>
        <v>1.89</v>
      </c>
      <c r="G28" s="9">
        <f t="shared" si="0"/>
        <v>2.5773195876288658E-2</v>
      </c>
    </row>
    <row r="29" spans="1:7" x14ac:dyDescent="0.25">
      <c r="A29" s="10">
        <v>4</v>
      </c>
      <c r="B29" s="11">
        <v>3</v>
      </c>
      <c r="C29" s="12">
        <v>41587</v>
      </c>
      <c r="D29" s="13">
        <v>1040</v>
      </c>
      <c r="E29" s="8">
        <f>VLOOKUP(B29,T.productos!$A$1:$E$15,4,0)</f>
        <v>1.94</v>
      </c>
      <c r="F29" s="8">
        <f>VLOOKUP(B29,T.productos!$A$1:$E$15,5,0)</f>
        <v>1.89</v>
      </c>
      <c r="G29" s="9">
        <f t="shared" si="0"/>
        <v>2.5773195876288658E-2</v>
      </c>
    </row>
    <row r="30" spans="1:7" x14ac:dyDescent="0.25">
      <c r="A30" s="4">
        <v>4</v>
      </c>
      <c r="B30" s="5">
        <v>3</v>
      </c>
      <c r="C30" s="6">
        <v>39816</v>
      </c>
      <c r="D30" s="7">
        <v>1469</v>
      </c>
      <c r="E30" s="8">
        <f>VLOOKUP(B30,T.productos!$A$1:$E$15,4,0)</f>
        <v>1.94</v>
      </c>
      <c r="F30" s="8">
        <f>VLOOKUP(B30,T.productos!$A$1:$E$15,5,0)</f>
        <v>1.89</v>
      </c>
      <c r="G30" s="9">
        <f t="shared" si="0"/>
        <v>2.5773195876288658E-2</v>
      </c>
    </row>
    <row r="31" spans="1:7" x14ac:dyDescent="0.25">
      <c r="A31" s="10">
        <v>4</v>
      </c>
      <c r="B31" s="11">
        <v>3</v>
      </c>
      <c r="C31" s="12">
        <v>38812</v>
      </c>
      <c r="D31" s="13">
        <v>2883</v>
      </c>
      <c r="E31" s="8">
        <f>VLOOKUP(B31,T.productos!$A$1:$E$15,4,0)</f>
        <v>1.94</v>
      </c>
      <c r="F31" s="8">
        <f>VLOOKUP(B31,T.productos!$A$1:$E$15,5,0)</f>
        <v>1.89</v>
      </c>
      <c r="G31" s="9">
        <f t="shared" si="0"/>
        <v>2.5773195876288658E-2</v>
      </c>
    </row>
    <row r="32" spans="1:7" x14ac:dyDescent="0.25">
      <c r="A32" s="4">
        <v>4</v>
      </c>
      <c r="B32" s="5">
        <v>3</v>
      </c>
      <c r="C32" s="6">
        <v>40141</v>
      </c>
      <c r="D32" s="7">
        <v>1227</v>
      </c>
      <c r="E32" s="8">
        <f>VLOOKUP(B32,T.productos!$A$1:$E$15,4,0)</f>
        <v>1.94</v>
      </c>
      <c r="F32" s="8">
        <f>VLOOKUP(B32,T.productos!$A$1:$E$15,5,0)</f>
        <v>1.89</v>
      </c>
      <c r="G32" s="9">
        <f t="shared" si="0"/>
        <v>2.5773195876288658E-2</v>
      </c>
    </row>
    <row r="33" spans="1:7" x14ac:dyDescent="0.25">
      <c r="A33" s="4">
        <v>2</v>
      </c>
      <c r="B33" s="5">
        <v>13</v>
      </c>
      <c r="C33" s="6">
        <v>38188</v>
      </c>
      <c r="D33" s="7">
        <v>1783</v>
      </c>
      <c r="E33" s="8">
        <f>VLOOKUP(B33,T.productos!$A$1:$E$15,4,0)</f>
        <v>0.24</v>
      </c>
      <c r="F33" s="8">
        <f>VLOOKUP(B33,T.productos!$A$1:$E$15,5,0)</f>
        <v>0.12</v>
      </c>
      <c r="G33" s="9">
        <f t="shared" si="0"/>
        <v>0.5</v>
      </c>
    </row>
    <row r="34" spans="1:7" x14ac:dyDescent="0.25">
      <c r="A34" s="4">
        <v>5</v>
      </c>
      <c r="B34" s="5">
        <v>3</v>
      </c>
      <c r="C34" s="6">
        <v>38975</v>
      </c>
      <c r="D34" s="7">
        <v>2216</v>
      </c>
      <c r="E34" s="8">
        <f>VLOOKUP(B34,T.productos!$A$1:$E$15,4,0)</f>
        <v>1.94</v>
      </c>
      <c r="F34" s="8">
        <f>VLOOKUP(B34,T.productos!$A$1:$E$15,5,0)</f>
        <v>1.89</v>
      </c>
      <c r="G34" s="9">
        <f t="shared" si="0"/>
        <v>2.5773195876288658E-2</v>
      </c>
    </row>
    <row r="35" spans="1:7" x14ac:dyDescent="0.25">
      <c r="A35" s="4">
        <v>2</v>
      </c>
      <c r="B35" s="5">
        <v>3</v>
      </c>
      <c r="C35" s="6">
        <v>39786</v>
      </c>
      <c r="D35" s="7">
        <v>2231</v>
      </c>
      <c r="E35" s="8">
        <f>VLOOKUP(B35,T.productos!$A$1:$E$15,4,0)</f>
        <v>1.94</v>
      </c>
      <c r="F35" s="8">
        <f>VLOOKUP(B35,T.productos!$A$1:$E$15,5,0)</f>
        <v>1.89</v>
      </c>
      <c r="G35" s="9">
        <f t="shared" si="0"/>
        <v>2.5773195876288658E-2</v>
      </c>
    </row>
    <row r="36" spans="1:7" x14ac:dyDescent="0.25">
      <c r="A36" s="4">
        <v>2</v>
      </c>
      <c r="B36" s="5">
        <v>3</v>
      </c>
      <c r="C36" s="6">
        <v>38839</v>
      </c>
      <c r="D36" s="7">
        <v>635</v>
      </c>
      <c r="E36" s="8">
        <f>VLOOKUP(B36,T.productos!$A$1:$E$15,4,0)</f>
        <v>1.94</v>
      </c>
      <c r="F36" s="8">
        <f>VLOOKUP(B36,T.productos!$A$1:$E$15,5,0)</f>
        <v>1.89</v>
      </c>
      <c r="G36" s="9">
        <f t="shared" si="0"/>
        <v>2.5773195876288658E-2</v>
      </c>
    </row>
    <row r="37" spans="1:7" x14ac:dyDescent="0.25">
      <c r="A37" s="4">
        <v>1</v>
      </c>
      <c r="B37" s="5">
        <v>12</v>
      </c>
      <c r="C37" s="6">
        <v>38503</v>
      </c>
      <c r="D37" s="7">
        <v>1495</v>
      </c>
      <c r="E37" s="8">
        <f>VLOOKUP(B37,T.productos!$A$1:$E$15,4,0)</f>
        <v>2.42</v>
      </c>
      <c r="F37" s="8">
        <f>VLOOKUP(B37,T.productos!$A$1:$E$15,5,0)</f>
        <v>1.68</v>
      </c>
      <c r="G37" s="9">
        <f t="shared" si="0"/>
        <v>0.30578512396694213</v>
      </c>
    </row>
    <row r="38" spans="1:7" x14ac:dyDescent="0.25">
      <c r="A38" s="4">
        <v>5</v>
      </c>
      <c r="B38" s="5">
        <v>6</v>
      </c>
      <c r="C38" s="6">
        <v>38193</v>
      </c>
      <c r="D38" s="7">
        <v>2255</v>
      </c>
      <c r="E38" s="8">
        <f>VLOOKUP(B38,T.productos!$A$1:$E$15,4,0)</f>
        <v>2.42</v>
      </c>
      <c r="F38" s="8">
        <f>VLOOKUP(B38,T.productos!$A$1:$E$15,5,0)</f>
        <v>2.2799999999999998</v>
      </c>
      <c r="G38" s="9">
        <f t="shared" si="0"/>
        <v>5.7851239669421489E-2</v>
      </c>
    </row>
    <row r="39" spans="1:7" x14ac:dyDescent="0.25">
      <c r="A39" s="4">
        <v>3</v>
      </c>
      <c r="B39" s="5">
        <v>13</v>
      </c>
      <c r="C39" s="6">
        <v>39152</v>
      </c>
      <c r="D39" s="7">
        <v>2728</v>
      </c>
      <c r="E39" s="8">
        <f>VLOOKUP(B39,T.productos!$A$1:$E$15,4,0)</f>
        <v>0.24</v>
      </c>
      <c r="F39" s="8">
        <f>VLOOKUP(B39,T.productos!$A$1:$E$15,5,0)</f>
        <v>0.12</v>
      </c>
      <c r="G39" s="9">
        <f t="shared" si="0"/>
        <v>0.5</v>
      </c>
    </row>
    <row r="40" spans="1:7" x14ac:dyDescent="0.25">
      <c r="A40" s="4">
        <v>4</v>
      </c>
      <c r="B40" s="5">
        <v>4</v>
      </c>
      <c r="C40" s="6">
        <v>39669</v>
      </c>
      <c r="D40" s="7">
        <v>1493</v>
      </c>
      <c r="E40" s="8">
        <f>VLOOKUP(B40,T.productos!$A$1:$E$15,4,0)</f>
        <v>0.61</v>
      </c>
      <c r="F40" s="8">
        <f>VLOOKUP(B40,T.productos!$A$1:$E$15,5,0)</f>
        <v>0.28999999999999998</v>
      </c>
      <c r="G40" s="9">
        <f t="shared" si="0"/>
        <v>0.52459016393442626</v>
      </c>
    </row>
    <row r="41" spans="1:7" x14ac:dyDescent="0.25">
      <c r="A41" s="4">
        <v>5</v>
      </c>
      <c r="B41" s="5">
        <v>14</v>
      </c>
      <c r="C41" s="6">
        <v>39166</v>
      </c>
      <c r="D41" s="7">
        <v>1138</v>
      </c>
      <c r="E41" s="8">
        <f>VLOOKUP(B41,T.productos!$A$1:$E$15,4,0)</f>
        <v>3.63</v>
      </c>
      <c r="F41" s="8">
        <f>VLOOKUP(B41,T.productos!$A$1:$E$15,5,0)</f>
        <v>3.2</v>
      </c>
      <c r="G41" s="9">
        <f t="shared" si="0"/>
        <v>0.1184573002754821</v>
      </c>
    </row>
    <row r="42" spans="1:7" x14ac:dyDescent="0.25">
      <c r="A42" s="4">
        <v>3</v>
      </c>
      <c r="B42" s="5">
        <v>12</v>
      </c>
      <c r="C42" s="6">
        <v>39725</v>
      </c>
      <c r="D42" s="7">
        <v>2936</v>
      </c>
      <c r="E42" s="8">
        <f>VLOOKUP(B42,T.productos!$A$1:$E$15,4,0)</f>
        <v>2.42</v>
      </c>
      <c r="F42" s="8">
        <f>VLOOKUP(B42,T.productos!$A$1:$E$15,5,0)</f>
        <v>1.68</v>
      </c>
      <c r="G42" s="9">
        <f t="shared" si="0"/>
        <v>0.30578512396694213</v>
      </c>
    </row>
    <row r="43" spans="1:7" x14ac:dyDescent="0.25">
      <c r="A43" s="4">
        <v>5</v>
      </c>
      <c r="B43" s="5">
        <v>7</v>
      </c>
      <c r="C43" s="6">
        <v>39322</v>
      </c>
      <c r="D43" s="7">
        <v>2643</v>
      </c>
      <c r="E43" s="8">
        <f>VLOOKUP(B43,T.productos!$A$1:$E$15,4,0)</f>
        <v>0.97</v>
      </c>
      <c r="F43" s="8">
        <f>VLOOKUP(B43,T.productos!$A$1:$E$15,5,0)</f>
        <v>0.19</v>
      </c>
      <c r="G43" s="9">
        <f t="shared" si="0"/>
        <v>0.80412371134020622</v>
      </c>
    </row>
    <row r="44" spans="1:7" x14ac:dyDescent="0.25">
      <c r="A44" s="4">
        <v>5</v>
      </c>
      <c r="B44" s="5">
        <v>1</v>
      </c>
      <c r="C44" s="6">
        <v>38216</v>
      </c>
      <c r="D44" s="7">
        <v>872</v>
      </c>
      <c r="E44" s="8">
        <f>VLOOKUP(B44,T.productos!$A$1:$E$15,4,0)</f>
        <v>3.93</v>
      </c>
      <c r="F44" s="8">
        <f>VLOOKUP(B44,T.productos!$A$1:$E$15,5,0)</f>
        <v>3.4</v>
      </c>
      <c r="G44" s="9">
        <f t="shared" si="0"/>
        <v>0.13486005089058525</v>
      </c>
    </row>
    <row r="45" spans="1:7" x14ac:dyDescent="0.25">
      <c r="A45" s="4">
        <v>4</v>
      </c>
      <c r="B45" s="5">
        <v>6</v>
      </c>
      <c r="C45" s="6">
        <v>38460</v>
      </c>
      <c r="D45" s="7">
        <v>694</v>
      </c>
      <c r="E45" s="8">
        <f>VLOOKUP(B45,T.productos!$A$1:$E$15,4,0)</f>
        <v>2.42</v>
      </c>
      <c r="F45" s="8">
        <f>VLOOKUP(B45,T.productos!$A$1:$E$15,5,0)</f>
        <v>2.2799999999999998</v>
      </c>
      <c r="G45" s="9">
        <f t="shared" si="0"/>
        <v>5.7851239669421489E-2</v>
      </c>
    </row>
    <row r="46" spans="1:7" x14ac:dyDescent="0.25">
      <c r="A46" s="4">
        <v>3</v>
      </c>
      <c r="B46" s="5">
        <v>4</v>
      </c>
      <c r="C46" s="6">
        <v>39427</v>
      </c>
      <c r="D46" s="7">
        <v>1024</v>
      </c>
      <c r="E46" s="8">
        <f>VLOOKUP(B46,T.productos!$A$1:$E$15,4,0)</f>
        <v>0.61</v>
      </c>
      <c r="F46" s="8">
        <f>VLOOKUP(B46,T.productos!$A$1:$E$15,5,0)</f>
        <v>0.28999999999999998</v>
      </c>
      <c r="G46" s="9">
        <f t="shared" si="0"/>
        <v>0.52459016393442626</v>
      </c>
    </row>
    <row r="47" spans="1:7" x14ac:dyDescent="0.25">
      <c r="A47" s="4">
        <v>2</v>
      </c>
      <c r="B47" s="5">
        <v>14</v>
      </c>
      <c r="C47" s="6">
        <v>38830</v>
      </c>
      <c r="D47" s="7">
        <v>2698</v>
      </c>
      <c r="E47" s="8">
        <f>VLOOKUP(B47,T.productos!$A$1:$E$15,4,0)</f>
        <v>3.63</v>
      </c>
      <c r="F47" s="8">
        <f>VLOOKUP(B47,T.productos!$A$1:$E$15,5,0)</f>
        <v>3.2</v>
      </c>
      <c r="G47" s="9">
        <f t="shared" si="0"/>
        <v>0.1184573002754821</v>
      </c>
    </row>
    <row r="48" spans="1:7" x14ac:dyDescent="0.25">
      <c r="A48" s="4">
        <v>3</v>
      </c>
      <c r="B48" s="5">
        <v>14</v>
      </c>
      <c r="C48" s="6">
        <v>39938</v>
      </c>
      <c r="D48" s="7">
        <v>358</v>
      </c>
      <c r="E48" s="8">
        <f>VLOOKUP(B48,T.productos!$A$1:$E$15,4,0)</f>
        <v>3.63</v>
      </c>
      <c r="F48" s="8">
        <f>VLOOKUP(B48,T.productos!$A$1:$E$15,5,0)</f>
        <v>3.2</v>
      </c>
      <c r="G48" s="9">
        <f t="shared" si="0"/>
        <v>0.1184573002754821</v>
      </c>
    </row>
    <row r="49" spans="1:7" x14ac:dyDescent="0.25">
      <c r="A49" s="4">
        <v>4</v>
      </c>
      <c r="B49" s="5">
        <v>13</v>
      </c>
      <c r="C49" s="6">
        <v>39690</v>
      </c>
      <c r="D49" s="7">
        <v>440</v>
      </c>
      <c r="E49" s="8">
        <f>VLOOKUP(B49,T.productos!$A$1:$E$15,4,0)</f>
        <v>0.24</v>
      </c>
      <c r="F49" s="8">
        <f>VLOOKUP(B49,T.productos!$A$1:$E$15,5,0)</f>
        <v>0.12</v>
      </c>
      <c r="G49" s="9">
        <f t="shared" si="0"/>
        <v>0.5</v>
      </c>
    </row>
    <row r="50" spans="1:7" x14ac:dyDescent="0.25">
      <c r="A50" s="4">
        <v>5</v>
      </c>
      <c r="B50" s="5">
        <v>7</v>
      </c>
      <c r="C50" s="6">
        <v>38230</v>
      </c>
      <c r="D50" s="7">
        <v>2868</v>
      </c>
      <c r="E50" s="8">
        <f>VLOOKUP(B50,T.productos!$A$1:$E$15,4,0)</f>
        <v>0.97</v>
      </c>
      <c r="F50" s="8">
        <f>VLOOKUP(B50,T.productos!$A$1:$E$15,5,0)</f>
        <v>0.19</v>
      </c>
      <c r="G50" s="9">
        <f t="shared" si="0"/>
        <v>0.80412371134020622</v>
      </c>
    </row>
    <row r="51" spans="1:7" x14ac:dyDescent="0.25">
      <c r="A51" s="4">
        <v>1</v>
      </c>
      <c r="B51" s="5">
        <v>10</v>
      </c>
      <c r="C51" s="6">
        <v>39015</v>
      </c>
      <c r="D51" s="7">
        <v>1847</v>
      </c>
      <c r="E51" s="8">
        <f>VLOOKUP(B51,T.productos!$A$1:$E$15,4,0)</f>
        <v>0.61</v>
      </c>
      <c r="F51" s="8">
        <f>VLOOKUP(B51,T.productos!$A$1:$E$15,5,0)</f>
        <v>0.4</v>
      </c>
      <c r="G51" s="9">
        <f t="shared" si="0"/>
        <v>0.34426229508196721</v>
      </c>
    </row>
    <row r="52" spans="1:7" x14ac:dyDescent="0.25">
      <c r="A52" s="4">
        <v>2</v>
      </c>
      <c r="B52" s="5">
        <v>2</v>
      </c>
      <c r="C52" s="6">
        <v>39703</v>
      </c>
      <c r="D52" s="7">
        <v>1421</v>
      </c>
      <c r="E52" s="8">
        <f>VLOOKUP(B52,T.productos!$A$1:$E$15,4,0)</f>
        <v>1.63</v>
      </c>
      <c r="F52" s="8">
        <f>VLOOKUP(B52,T.productos!$A$1:$E$15,5,0)</f>
        <v>1.42</v>
      </c>
      <c r="G52" s="9">
        <f t="shared" si="0"/>
        <v>0.12883435582822086</v>
      </c>
    </row>
    <row r="53" spans="1:7" x14ac:dyDescent="0.25">
      <c r="A53" s="4">
        <v>3</v>
      </c>
      <c r="B53" s="5">
        <v>2</v>
      </c>
      <c r="C53" s="6">
        <v>38914</v>
      </c>
      <c r="D53" s="7">
        <v>1026</v>
      </c>
      <c r="E53" s="8">
        <f>VLOOKUP(B53,T.productos!$A$1:$E$15,4,0)</f>
        <v>1.63</v>
      </c>
      <c r="F53" s="8">
        <f>VLOOKUP(B53,T.productos!$A$1:$E$15,5,0)</f>
        <v>1.42</v>
      </c>
      <c r="G53" s="9">
        <f t="shared" si="0"/>
        <v>0.12883435582822086</v>
      </c>
    </row>
    <row r="54" spans="1:7" x14ac:dyDescent="0.25">
      <c r="A54" s="4">
        <v>4</v>
      </c>
      <c r="B54" s="5">
        <v>3</v>
      </c>
      <c r="C54" s="6">
        <v>38549</v>
      </c>
      <c r="D54" s="7">
        <v>2929</v>
      </c>
      <c r="E54" s="8">
        <f>VLOOKUP(B54,T.productos!$A$1:$E$15,4,0)</f>
        <v>1.94</v>
      </c>
      <c r="F54" s="8">
        <f>VLOOKUP(B54,T.productos!$A$1:$E$15,5,0)</f>
        <v>1.89</v>
      </c>
      <c r="G54" s="9">
        <f t="shared" si="0"/>
        <v>2.5773195876288658E-2</v>
      </c>
    </row>
    <row r="55" spans="1:7" x14ac:dyDescent="0.25">
      <c r="A55" s="4">
        <v>2</v>
      </c>
      <c r="B55" s="5">
        <v>7</v>
      </c>
      <c r="C55" s="6">
        <v>38788</v>
      </c>
      <c r="D55" s="7">
        <v>568</v>
      </c>
      <c r="E55" s="8">
        <f>VLOOKUP(B55,T.productos!$A$1:$E$15,4,0)</f>
        <v>0.97</v>
      </c>
      <c r="F55" s="8">
        <f>VLOOKUP(B55,T.productos!$A$1:$E$15,5,0)</f>
        <v>0.19</v>
      </c>
      <c r="G55" s="9">
        <f t="shared" si="0"/>
        <v>0.80412371134020622</v>
      </c>
    </row>
    <row r="56" spans="1:7" x14ac:dyDescent="0.25">
      <c r="A56" s="4">
        <v>4</v>
      </c>
      <c r="B56" s="5">
        <v>10</v>
      </c>
      <c r="C56" s="6">
        <v>38870</v>
      </c>
      <c r="D56" s="7">
        <v>2566</v>
      </c>
      <c r="E56" s="8">
        <f>VLOOKUP(B56,T.productos!$A$1:$E$15,4,0)</f>
        <v>0.61</v>
      </c>
      <c r="F56" s="8">
        <f>VLOOKUP(B56,T.productos!$A$1:$E$15,5,0)</f>
        <v>0.4</v>
      </c>
      <c r="G56" s="9">
        <f t="shared" si="0"/>
        <v>0.34426229508196721</v>
      </c>
    </row>
    <row r="57" spans="1:7" x14ac:dyDescent="0.25">
      <c r="A57" s="4">
        <v>3</v>
      </c>
      <c r="B57" s="5">
        <v>9</v>
      </c>
      <c r="C57" s="6">
        <v>38255</v>
      </c>
      <c r="D57" s="7">
        <v>2954</v>
      </c>
      <c r="E57" s="8">
        <f>VLOOKUP(B57,T.productos!$A$1:$E$15,4,0)</f>
        <v>1.21</v>
      </c>
      <c r="F57" s="8">
        <f>VLOOKUP(B57,T.productos!$A$1:$E$15,5,0)</f>
        <v>0.36</v>
      </c>
      <c r="G57" s="9">
        <f t="shared" si="0"/>
        <v>0.7024793388429752</v>
      </c>
    </row>
    <row r="58" spans="1:7" x14ac:dyDescent="0.25">
      <c r="A58" s="4">
        <v>5</v>
      </c>
      <c r="B58" s="5">
        <v>9</v>
      </c>
      <c r="C58" s="6">
        <v>39998</v>
      </c>
      <c r="D58" s="7">
        <v>505</v>
      </c>
      <c r="E58" s="8">
        <f>VLOOKUP(B58,T.productos!$A$1:$E$15,4,0)</f>
        <v>1.21</v>
      </c>
      <c r="F58" s="8">
        <f>VLOOKUP(B58,T.productos!$A$1:$E$15,5,0)</f>
        <v>0.36</v>
      </c>
      <c r="G58" s="9">
        <f t="shared" si="0"/>
        <v>0.7024793388429752</v>
      </c>
    </row>
    <row r="59" spans="1:7" x14ac:dyDescent="0.25">
      <c r="A59" s="4">
        <v>3</v>
      </c>
      <c r="B59" s="5">
        <v>8</v>
      </c>
      <c r="C59" s="6">
        <v>38051</v>
      </c>
      <c r="D59" s="7">
        <v>2960</v>
      </c>
      <c r="E59" s="8">
        <f>VLOOKUP(B59,T.productos!$A$1:$E$15,4,0)</f>
        <v>3.63</v>
      </c>
      <c r="F59" s="8">
        <f>VLOOKUP(B59,T.productos!$A$1:$E$15,5,0)</f>
        <v>3.35</v>
      </c>
      <c r="G59" s="9">
        <f t="shared" si="0"/>
        <v>7.7134986225895319E-2</v>
      </c>
    </row>
    <row r="60" spans="1:7" x14ac:dyDescent="0.25">
      <c r="A60" s="4">
        <v>3</v>
      </c>
      <c r="B60" s="5">
        <v>9</v>
      </c>
      <c r="C60" s="6">
        <v>38919</v>
      </c>
      <c r="D60" s="7">
        <v>999</v>
      </c>
      <c r="E60" s="8">
        <f>VLOOKUP(B60,T.productos!$A$1:$E$15,4,0)</f>
        <v>1.21</v>
      </c>
      <c r="F60" s="8">
        <f>VLOOKUP(B60,T.productos!$A$1:$E$15,5,0)</f>
        <v>0.36</v>
      </c>
      <c r="G60" s="9">
        <f t="shared" si="0"/>
        <v>0.7024793388429752</v>
      </c>
    </row>
    <row r="61" spans="1:7" x14ac:dyDescent="0.25">
      <c r="A61" s="4">
        <v>3</v>
      </c>
      <c r="B61" s="5">
        <v>2</v>
      </c>
      <c r="C61" s="6">
        <v>39971</v>
      </c>
      <c r="D61" s="7">
        <v>2586</v>
      </c>
      <c r="E61" s="8">
        <f>VLOOKUP(B61,T.productos!$A$1:$E$15,4,0)</f>
        <v>1.63</v>
      </c>
      <c r="F61" s="8">
        <f>VLOOKUP(B61,T.productos!$A$1:$E$15,5,0)</f>
        <v>1.42</v>
      </c>
      <c r="G61" s="9">
        <f t="shared" si="0"/>
        <v>0.12883435582822086</v>
      </c>
    </row>
    <row r="62" spans="1:7" x14ac:dyDescent="0.25">
      <c r="A62" s="4">
        <v>5</v>
      </c>
      <c r="B62" s="5">
        <v>4</v>
      </c>
      <c r="C62" s="6">
        <v>38349</v>
      </c>
      <c r="D62" s="7">
        <v>1234</v>
      </c>
      <c r="E62" s="8">
        <f>VLOOKUP(B62,T.productos!$A$1:$E$15,4,0)</f>
        <v>0.61</v>
      </c>
      <c r="F62" s="8">
        <f>VLOOKUP(B62,T.productos!$A$1:$E$15,5,0)</f>
        <v>0.28999999999999998</v>
      </c>
      <c r="G62" s="9">
        <f t="shared" si="0"/>
        <v>0.52459016393442626</v>
      </c>
    </row>
    <row r="63" spans="1:7" x14ac:dyDescent="0.25">
      <c r="A63" s="4">
        <v>2</v>
      </c>
      <c r="B63" s="5">
        <v>13</v>
      </c>
      <c r="C63" s="6">
        <v>38911</v>
      </c>
      <c r="D63" s="7">
        <v>2367</v>
      </c>
      <c r="E63" s="8">
        <f>VLOOKUP(B63,T.productos!$A$1:$E$15,4,0)</f>
        <v>0.24</v>
      </c>
      <c r="F63" s="8">
        <f>VLOOKUP(B63,T.productos!$A$1:$E$15,5,0)</f>
        <v>0.12</v>
      </c>
      <c r="G63" s="9">
        <f t="shared" si="0"/>
        <v>0.5</v>
      </c>
    </row>
    <row r="64" spans="1:7" x14ac:dyDescent="0.25">
      <c r="A64" s="4">
        <v>3</v>
      </c>
      <c r="B64" s="5">
        <v>14</v>
      </c>
      <c r="C64" s="6">
        <v>38958</v>
      </c>
      <c r="D64" s="7">
        <v>1978</v>
      </c>
      <c r="E64" s="8">
        <f>VLOOKUP(B64,T.productos!$A$1:$E$15,4,0)</f>
        <v>3.63</v>
      </c>
      <c r="F64" s="8">
        <f>VLOOKUP(B64,T.productos!$A$1:$E$15,5,0)</f>
        <v>3.2</v>
      </c>
      <c r="G64" s="9">
        <f t="shared" si="0"/>
        <v>0.1184573002754821</v>
      </c>
    </row>
    <row r="65" spans="1:7" x14ac:dyDescent="0.25">
      <c r="A65" s="4">
        <v>3</v>
      </c>
      <c r="B65" s="5">
        <v>1</v>
      </c>
      <c r="C65" s="6">
        <v>39126</v>
      </c>
      <c r="D65" s="7">
        <v>2594</v>
      </c>
      <c r="E65" s="8">
        <f>VLOOKUP(B65,T.productos!$A$1:$E$15,4,0)</f>
        <v>3.93</v>
      </c>
      <c r="F65" s="8">
        <f>VLOOKUP(B65,T.productos!$A$1:$E$15,5,0)</f>
        <v>3.4</v>
      </c>
      <c r="G65" s="9">
        <f t="shared" si="0"/>
        <v>0.13486005089058525</v>
      </c>
    </row>
    <row r="66" spans="1:7" x14ac:dyDescent="0.25">
      <c r="A66" s="4">
        <v>5</v>
      </c>
      <c r="B66" s="5">
        <v>6</v>
      </c>
      <c r="C66" s="6">
        <v>39278</v>
      </c>
      <c r="D66" s="7">
        <v>1557</v>
      </c>
      <c r="E66" s="8">
        <f>VLOOKUP(B66,T.productos!$A$1:$E$15,4,0)</f>
        <v>2.42</v>
      </c>
      <c r="F66" s="8">
        <f>VLOOKUP(B66,T.productos!$A$1:$E$15,5,0)</f>
        <v>2.2799999999999998</v>
      </c>
      <c r="G66" s="9">
        <f t="shared" ref="G66:G129" si="1">margen(D66,E66,F66)</f>
        <v>5.7851239669421489E-2</v>
      </c>
    </row>
    <row r="67" spans="1:7" x14ac:dyDescent="0.25">
      <c r="A67" s="4">
        <v>5</v>
      </c>
      <c r="B67" s="5">
        <v>2</v>
      </c>
      <c r="C67" s="6">
        <v>38926</v>
      </c>
      <c r="D67" s="7">
        <v>1783</v>
      </c>
      <c r="E67" s="8">
        <f>VLOOKUP(B67,T.productos!$A$1:$E$15,4,0)</f>
        <v>1.63</v>
      </c>
      <c r="F67" s="8">
        <f>VLOOKUP(B67,T.productos!$A$1:$E$15,5,0)</f>
        <v>1.42</v>
      </c>
      <c r="G67" s="9">
        <f t="shared" si="1"/>
        <v>0.12883435582822086</v>
      </c>
    </row>
    <row r="68" spans="1:7" x14ac:dyDescent="0.25">
      <c r="A68" s="4">
        <v>5</v>
      </c>
      <c r="B68" s="5">
        <v>8</v>
      </c>
      <c r="C68" s="6">
        <v>38521</v>
      </c>
      <c r="D68" s="7">
        <v>1585</v>
      </c>
      <c r="E68" s="8">
        <f>VLOOKUP(B68,T.productos!$A$1:$E$15,4,0)</f>
        <v>3.63</v>
      </c>
      <c r="F68" s="8">
        <f>VLOOKUP(B68,T.productos!$A$1:$E$15,5,0)</f>
        <v>3.35</v>
      </c>
      <c r="G68" s="9">
        <f t="shared" si="1"/>
        <v>7.7134986225895319E-2</v>
      </c>
    </row>
    <row r="69" spans="1:7" x14ac:dyDescent="0.25">
      <c r="A69" s="4">
        <v>2</v>
      </c>
      <c r="B69" s="5">
        <v>5</v>
      </c>
      <c r="C69" s="6">
        <v>38720</v>
      </c>
      <c r="D69" s="7">
        <v>2980</v>
      </c>
      <c r="E69" s="8">
        <f>VLOOKUP(B69,T.productos!$A$1:$E$15,4,0)</f>
        <v>2.54</v>
      </c>
      <c r="F69" s="8">
        <f>VLOOKUP(B69,T.productos!$A$1:$E$15,5,0)</f>
        <v>2.2799999999999998</v>
      </c>
      <c r="G69" s="9">
        <f t="shared" si="1"/>
        <v>0.10236220472440945</v>
      </c>
    </row>
    <row r="70" spans="1:7" x14ac:dyDescent="0.25">
      <c r="A70" s="4">
        <v>3</v>
      </c>
      <c r="B70" s="5">
        <v>12</v>
      </c>
      <c r="C70" s="6">
        <v>39460</v>
      </c>
      <c r="D70" s="7">
        <v>740</v>
      </c>
      <c r="E70" s="8">
        <f>VLOOKUP(B70,T.productos!$A$1:$E$15,4,0)</f>
        <v>2.42</v>
      </c>
      <c r="F70" s="8">
        <f>VLOOKUP(B70,T.productos!$A$1:$E$15,5,0)</f>
        <v>1.68</v>
      </c>
      <c r="G70" s="9">
        <f t="shared" si="1"/>
        <v>0.30578512396694213</v>
      </c>
    </row>
    <row r="71" spans="1:7" x14ac:dyDescent="0.25">
      <c r="A71" s="4">
        <v>4</v>
      </c>
      <c r="B71" s="5">
        <v>1</v>
      </c>
      <c r="C71" s="6">
        <v>38241</v>
      </c>
      <c r="D71" s="7">
        <v>1785</v>
      </c>
      <c r="E71" s="8">
        <f>VLOOKUP(B71,T.productos!$A$1:$E$15,4,0)</f>
        <v>3.93</v>
      </c>
      <c r="F71" s="8">
        <f>VLOOKUP(B71,T.productos!$A$1:$E$15,5,0)</f>
        <v>3.4</v>
      </c>
      <c r="G71" s="9">
        <f t="shared" si="1"/>
        <v>0.13486005089058525</v>
      </c>
    </row>
    <row r="72" spans="1:7" x14ac:dyDescent="0.25">
      <c r="A72" s="4">
        <v>5</v>
      </c>
      <c r="B72" s="5">
        <v>2</v>
      </c>
      <c r="C72" s="6">
        <v>39518</v>
      </c>
      <c r="D72" s="7">
        <v>2052</v>
      </c>
      <c r="E72" s="8">
        <f>VLOOKUP(B72,T.productos!$A$1:$E$15,4,0)</f>
        <v>1.63</v>
      </c>
      <c r="F72" s="8">
        <f>VLOOKUP(B72,T.productos!$A$1:$E$15,5,0)</f>
        <v>1.42</v>
      </c>
      <c r="G72" s="9">
        <f t="shared" si="1"/>
        <v>0.12883435582822086</v>
      </c>
    </row>
    <row r="73" spans="1:7" x14ac:dyDescent="0.25">
      <c r="A73" s="4">
        <v>1</v>
      </c>
      <c r="B73" s="5">
        <v>11</v>
      </c>
      <c r="C73" s="6">
        <v>38220</v>
      </c>
      <c r="D73" s="7">
        <v>2920</v>
      </c>
      <c r="E73" s="8">
        <f>VLOOKUP(B73,T.productos!$A$1:$E$15,4,0)</f>
        <v>1.21</v>
      </c>
      <c r="F73" s="8">
        <f>VLOOKUP(B73,T.productos!$A$1:$E$15,5,0)</f>
        <v>0.72</v>
      </c>
      <c r="G73" s="9">
        <f t="shared" si="1"/>
        <v>0.4049586776859504</v>
      </c>
    </row>
    <row r="74" spans="1:7" x14ac:dyDescent="0.25">
      <c r="A74" s="4">
        <v>3</v>
      </c>
      <c r="B74" s="5">
        <v>3</v>
      </c>
      <c r="C74" s="6">
        <v>39724</v>
      </c>
      <c r="D74" s="7">
        <v>1822</v>
      </c>
      <c r="E74" s="8">
        <f>VLOOKUP(B74,T.productos!$A$1:$E$15,4,0)</f>
        <v>1.94</v>
      </c>
      <c r="F74" s="8">
        <f>VLOOKUP(B74,T.productos!$A$1:$E$15,5,0)</f>
        <v>1.89</v>
      </c>
      <c r="G74" s="9">
        <f t="shared" si="1"/>
        <v>2.5773195876288658E-2</v>
      </c>
    </row>
    <row r="75" spans="1:7" x14ac:dyDescent="0.25">
      <c r="A75" s="4">
        <v>5</v>
      </c>
      <c r="B75" s="5">
        <v>2</v>
      </c>
      <c r="C75" s="6">
        <v>39650</v>
      </c>
      <c r="D75" s="7">
        <v>2936</v>
      </c>
      <c r="E75" s="8">
        <f>VLOOKUP(B75,T.productos!$A$1:$E$15,4,0)</f>
        <v>1.63</v>
      </c>
      <c r="F75" s="8">
        <f>VLOOKUP(B75,T.productos!$A$1:$E$15,5,0)</f>
        <v>1.42</v>
      </c>
      <c r="G75" s="9">
        <f t="shared" si="1"/>
        <v>0.12883435582822086</v>
      </c>
    </row>
    <row r="76" spans="1:7" x14ac:dyDescent="0.25">
      <c r="A76" s="4">
        <v>5</v>
      </c>
      <c r="B76" s="5">
        <v>8</v>
      </c>
      <c r="C76" s="6">
        <v>38681</v>
      </c>
      <c r="D76" s="7">
        <v>1365</v>
      </c>
      <c r="E76" s="8">
        <f>VLOOKUP(B76,T.productos!$A$1:$E$15,4,0)</f>
        <v>3.63</v>
      </c>
      <c r="F76" s="8">
        <f>VLOOKUP(B76,T.productos!$A$1:$E$15,5,0)</f>
        <v>3.35</v>
      </c>
      <c r="G76" s="9">
        <f t="shared" si="1"/>
        <v>7.7134986225895319E-2</v>
      </c>
    </row>
    <row r="77" spans="1:7" x14ac:dyDescent="0.25">
      <c r="A77" s="4">
        <v>3</v>
      </c>
      <c r="B77" s="5">
        <v>14</v>
      </c>
      <c r="C77" s="6">
        <v>39328</v>
      </c>
      <c r="D77" s="7">
        <v>1176</v>
      </c>
      <c r="E77" s="8">
        <f>VLOOKUP(B77,T.productos!$A$1:$E$15,4,0)</f>
        <v>3.63</v>
      </c>
      <c r="F77" s="8">
        <f>VLOOKUP(B77,T.productos!$A$1:$E$15,5,0)</f>
        <v>3.2</v>
      </c>
      <c r="G77" s="9">
        <f t="shared" si="1"/>
        <v>0.1184573002754821</v>
      </c>
    </row>
    <row r="78" spans="1:7" x14ac:dyDescent="0.25">
      <c r="A78" s="4">
        <v>2</v>
      </c>
      <c r="B78" s="5">
        <v>1</v>
      </c>
      <c r="C78" s="6">
        <v>39941</v>
      </c>
      <c r="D78" s="7">
        <v>2014</v>
      </c>
      <c r="E78" s="8">
        <f>VLOOKUP(B78,T.productos!$A$1:$E$15,4,0)</f>
        <v>3.93</v>
      </c>
      <c r="F78" s="8">
        <f>VLOOKUP(B78,T.productos!$A$1:$E$15,5,0)</f>
        <v>3.4</v>
      </c>
      <c r="G78" s="9">
        <f t="shared" si="1"/>
        <v>0.13486005089058525</v>
      </c>
    </row>
    <row r="79" spans="1:7" x14ac:dyDescent="0.25">
      <c r="A79" s="4">
        <v>2</v>
      </c>
      <c r="B79" s="5">
        <v>10</v>
      </c>
      <c r="C79" s="6">
        <v>38984</v>
      </c>
      <c r="D79" s="7">
        <v>570</v>
      </c>
      <c r="E79" s="8">
        <f>VLOOKUP(B79,T.productos!$A$1:$E$15,4,0)</f>
        <v>0.61</v>
      </c>
      <c r="F79" s="8">
        <f>VLOOKUP(B79,T.productos!$A$1:$E$15,5,0)</f>
        <v>0.4</v>
      </c>
      <c r="G79" s="9">
        <f t="shared" si="1"/>
        <v>0.34426229508196721</v>
      </c>
    </row>
    <row r="80" spans="1:7" x14ac:dyDescent="0.25">
      <c r="A80" s="4">
        <v>5</v>
      </c>
      <c r="B80" s="5">
        <v>4</v>
      </c>
      <c r="C80" s="6">
        <v>39430</v>
      </c>
      <c r="D80" s="7">
        <v>1044</v>
      </c>
      <c r="E80" s="8">
        <f>VLOOKUP(B80,T.productos!$A$1:$E$15,4,0)</f>
        <v>0.61</v>
      </c>
      <c r="F80" s="8">
        <f>VLOOKUP(B80,T.productos!$A$1:$E$15,5,0)</f>
        <v>0.28999999999999998</v>
      </c>
      <c r="G80" s="9">
        <f t="shared" si="1"/>
        <v>0.52459016393442626</v>
      </c>
    </row>
    <row r="81" spans="1:7" x14ac:dyDescent="0.25">
      <c r="A81" s="4">
        <v>5</v>
      </c>
      <c r="B81" s="5">
        <v>6</v>
      </c>
      <c r="C81" s="6">
        <v>38363</v>
      </c>
      <c r="D81" s="7">
        <v>2478</v>
      </c>
      <c r="E81" s="8">
        <f>VLOOKUP(B81,T.productos!$A$1:$E$15,4,0)</f>
        <v>2.42</v>
      </c>
      <c r="F81" s="8">
        <f>VLOOKUP(B81,T.productos!$A$1:$E$15,5,0)</f>
        <v>2.2799999999999998</v>
      </c>
      <c r="G81" s="9">
        <f t="shared" si="1"/>
        <v>5.7851239669421489E-2</v>
      </c>
    </row>
    <row r="82" spans="1:7" x14ac:dyDescent="0.25">
      <c r="A82" s="4">
        <v>1</v>
      </c>
      <c r="B82" s="5">
        <v>1</v>
      </c>
      <c r="C82" s="6">
        <v>39145</v>
      </c>
      <c r="D82" s="7">
        <v>1548</v>
      </c>
      <c r="E82" s="8">
        <f>VLOOKUP(B82,T.productos!$A$1:$E$15,4,0)</f>
        <v>3.93</v>
      </c>
      <c r="F82" s="8">
        <f>VLOOKUP(B82,T.productos!$A$1:$E$15,5,0)</f>
        <v>3.4</v>
      </c>
      <c r="G82" s="9">
        <f t="shared" si="1"/>
        <v>0.13486005089058525</v>
      </c>
    </row>
    <row r="83" spans="1:7" x14ac:dyDescent="0.25">
      <c r="A83" s="4">
        <v>3</v>
      </c>
      <c r="B83" s="5">
        <v>10</v>
      </c>
      <c r="C83" s="6">
        <v>38679</v>
      </c>
      <c r="D83" s="7">
        <v>2593</v>
      </c>
      <c r="E83" s="8">
        <f>VLOOKUP(B83,T.productos!$A$1:$E$15,4,0)</f>
        <v>0.61</v>
      </c>
      <c r="F83" s="8">
        <f>VLOOKUP(B83,T.productos!$A$1:$E$15,5,0)</f>
        <v>0.4</v>
      </c>
      <c r="G83" s="9">
        <f t="shared" si="1"/>
        <v>0.34426229508196721</v>
      </c>
    </row>
    <row r="84" spans="1:7" x14ac:dyDescent="0.25">
      <c r="A84" s="4">
        <v>1</v>
      </c>
      <c r="B84" s="5">
        <v>3</v>
      </c>
      <c r="C84" s="6">
        <v>39397</v>
      </c>
      <c r="D84" s="7">
        <v>1540</v>
      </c>
      <c r="E84" s="8">
        <f>VLOOKUP(B84,T.productos!$A$1:$E$15,4,0)</f>
        <v>1.94</v>
      </c>
      <c r="F84" s="8">
        <f>VLOOKUP(B84,T.productos!$A$1:$E$15,5,0)</f>
        <v>1.89</v>
      </c>
      <c r="G84" s="9">
        <f t="shared" si="1"/>
        <v>2.5773195876288658E-2</v>
      </c>
    </row>
    <row r="85" spans="1:7" x14ac:dyDescent="0.25">
      <c r="A85" s="4">
        <v>5</v>
      </c>
      <c r="B85" s="5">
        <v>7</v>
      </c>
      <c r="C85" s="6">
        <v>38078</v>
      </c>
      <c r="D85" s="7">
        <v>2324</v>
      </c>
      <c r="E85" s="8">
        <f>VLOOKUP(B85,T.productos!$A$1:$E$15,4,0)</f>
        <v>0.97</v>
      </c>
      <c r="F85" s="8">
        <f>VLOOKUP(B85,T.productos!$A$1:$E$15,5,0)</f>
        <v>0.19</v>
      </c>
      <c r="G85" s="9">
        <f t="shared" si="1"/>
        <v>0.80412371134020622</v>
      </c>
    </row>
    <row r="86" spans="1:7" x14ac:dyDescent="0.25">
      <c r="A86" s="4">
        <v>2</v>
      </c>
      <c r="B86" s="5">
        <v>4</v>
      </c>
      <c r="C86" s="6">
        <v>38359</v>
      </c>
      <c r="D86" s="7">
        <v>2237</v>
      </c>
      <c r="E86" s="8">
        <f>VLOOKUP(B86,T.productos!$A$1:$E$15,4,0)</f>
        <v>0.61</v>
      </c>
      <c r="F86" s="8">
        <f>VLOOKUP(B86,T.productos!$A$1:$E$15,5,0)</f>
        <v>0.28999999999999998</v>
      </c>
      <c r="G86" s="9">
        <f t="shared" si="1"/>
        <v>0.52459016393442626</v>
      </c>
    </row>
    <row r="87" spans="1:7" x14ac:dyDescent="0.25">
      <c r="A87" s="4">
        <v>4</v>
      </c>
      <c r="B87" s="5">
        <v>2</v>
      </c>
      <c r="C87" s="6">
        <v>38408</v>
      </c>
      <c r="D87" s="7">
        <v>1780</v>
      </c>
      <c r="E87" s="8">
        <f>VLOOKUP(B87,T.productos!$A$1:$E$15,4,0)</f>
        <v>1.63</v>
      </c>
      <c r="F87" s="8">
        <f>VLOOKUP(B87,T.productos!$A$1:$E$15,5,0)</f>
        <v>1.42</v>
      </c>
      <c r="G87" s="9">
        <f t="shared" si="1"/>
        <v>0.12883435582822086</v>
      </c>
    </row>
    <row r="88" spans="1:7" x14ac:dyDescent="0.25">
      <c r="A88" s="4">
        <v>2</v>
      </c>
      <c r="B88" s="5">
        <v>4</v>
      </c>
      <c r="C88" s="6">
        <v>38703</v>
      </c>
      <c r="D88" s="7">
        <v>2751</v>
      </c>
      <c r="E88" s="8">
        <f>VLOOKUP(B88,T.productos!$A$1:$E$15,4,0)</f>
        <v>0.61</v>
      </c>
      <c r="F88" s="8">
        <f>VLOOKUP(B88,T.productos!$A$1:$E$15,5,0)</f>
        <v>0.28999999999999998</v>
      </c>
      <c r="G88" s="9">
        <f t="shared" si="1"/>
        <v>0.52459016393442626</v>
      </c>
    </row>
    <row r="89" spans="1:7" x14ac:dyDescent="0.25">
      <c r="A89" s="4">
        <v>2</v>
      </c>
      <c r="B89" s="5">
        <v>7</v>
      </c>
      <c r="C89" s="6">
        <v>39623</v>
      </c>
      <c r="D89" s="7">
        <v>1501</v>
      </c>
      <c r="E89" s="8">
        <f>VLOOKUP(B89,T.productos!$A$1:$E$15,4,0)</f>
        <v>0.97</v>
      </c>
      <c r="F89" s="8">
        <f>VLOOKUP(B89,T.productos!$A$1:$E$15,5,0)</f>
        <v>0.19</v>
      </c>
      <c r="G89" s="9">
        <f t="shared" si="1"/>
        <v>0.80412371134020622</v>
      </c>
    </row>
    <row r="90" spans="1:7" x14ac:dyDescent="0.25">
      <c r="A90" s="4">
        <v>1</v>
      </c>
      <c r="B90" s="5">
        <v>6</v>
      </c>
      <c r="C90" s="6">
        <v>39298</v>
      </c>
      <c r="D90" s="7">
        <v>1014</v>
      </c>
      <c r="E90" s="8">
        <f>VLOOKUP(B90,T.productos!$A$1:$E$15,4,0)</f>
        <v>2.42</v>
      </c>
      <c r="F90" s="8">
        <f>VLOOKUP(B90,T.productos!$A$1:$E$15,5,0)</f>
        <v>2.2799999999999998</v>
      </c>
      <c r="G90" s="9">
        <f t="shared" si="1"/>
        <v>5.7851239669421489E-2</v>
      </c>
    </row>
    <row r="91" spans="1:7" x14ac:dyDescent="0.25">
      <c r="A91" s="4">
        <v>5</v>
      </c>
      <c r="B91" s="5">
        <v>8</v>
      </c>
      <c r="C91" s="6">
        <v>39913</v>
      </c>
      <c r="D91" s="7">
        <v>2974</v>
      </c>
      <c r="E91" s="8">
        <f>VLOOKUP(B91,T.productos!$A$1:$E$15,4,0)</f>
        <v>3.63</v>
      </c>
      <c r="F91" s="8">
        <f>VLOOKUP(B91,T.productos!$A$1:$E$15,5,0)</f>
        <v>3.35</v>
      </c>
      <c r="G91" s="9">
        <f t="shared" si="1"/>
        <v>7.7134986225895319E-2</v>
      </c>
    </row>
    <row r="92" spans="1:7" x14ac:dyDescent="0.25">
      <c r="A92" s="4">
        <v>3</v>
      </c>
      <c r="B92" s="5">
        <v>1</v>
      </c>
      <c r="C92" s="6">
        <v>38001</v>
      </c>
      <c r="D92" s="7">
        <v>1208</v>
      </c>
      <c r="E92" s="8">
        <f>VLOOKUP(B92,T.productos!$A$1:$E$15,4,0)</f>
        <v>3.93</v>
      </c>
      <c r="F92" s="8">
        <f>VLOOKUP(B92,T.productos!$A$1:$E$15,5,0)</f>
        <v>3.4</v>
      </c>
      <c r="G92" s="9">
        <f t="shared" si="1"/>
        <v>0.13486005089058525</v>
      </c>
    </row>
    <row r="93" spans="1:7" x14ac:dyDescent="0.25">
      <c r="A93" s="4">
        <v>1</v>
      </c>
      <c r="B93" s="5">
        <v>4</v>
      </c>
      <c r="C93" s="6">
        <v>38680</v>
      </c>
      <c r="D93" s="7">
        <v>787</v>
      </c>
      <c r="E93" s="8">
        <f>VLOOKUP(B93,T.productos!$A$1:$E$15,4,0)</f>
        <v>0.61</v>
      </c>
      <c r="F93" s="8">
        <f>VLOOKUP(B93,T.productos!$A$1:$E$15,5,0)</f>
        <v>0.28999999999999998</v>
      </c>
      <c r="G93" s="9">
        <f t="shared" si="1"/>
        <v>0.52459016393442626</v>
      </c>
    </row>
    <row r="94" spans="1:7" x14ac:dyDescent="0.25">
      <c r="A94" s="4">
        <v>1</v>
      </c>
      <c r="B94" s="5">
        <v>2</v>
      </c>
      <c r="C94" s="6">
        <v>39451</v>
      </c>
      <c r="D94" s="7">
        <v>323</v>
      </c>
      <c r="E94" s="8">
        <f>VLOOKUP(B94,T.productos!$A$1:$E$15,4,0)</f>
        <v>1.63</v>
      </c>
      <c r="F94" s="8">
        <f>VLOOKUP(B94,T.productos!$A$1:$E$15,5,0)</f>
        <v>1.42</v>
      </c>
      <c r="G94" s="9">
        <f t="shared" si="1"/>
        <v>0.12883435582822086</v>
      </c>
    </row>
    <row r="95" spans="1:7" x14ac:dyDescent="0.25">
      <c r="A95" s="4">
        <v>2</v>
      </c>
      <c r="B95" s="5">
        <v>8</v>
      </c>
      <c r="C95" s="6">
        <v>39709</v>
      </c>
      <c r="D95" s="7">
        <v>2116</v>
      </c>
      <c r="E95" s="8">
        <f>VLOOKUP(B95,T.productos!$A$1:$E$15,4,0)</f>
        <v>3.63</v>
      </c>
      <c r="F95" s="8">
        <f>VLOOKUP(B95,T.productos!$A$1:$E$15,5,0)</f>
        <v>3.35</v>
      </c>
      <c r="G95" s="9">
        <f t="shared" si="1"/>
        <v>7.7134986225895319E-2</v>
      </c>
    </row>
    <row r="96" spans="1:7" x14ac:dyDescent="0.25">
      <c r="A96" s="4">
        <v>1</v>
      </c>
      <c r="B96" s="5">
        <v>7</v>
      </c>
      <c r="C96" s="6">
        <v>39644</v>
      </c>
      <c r="D96" s="7">
        <v>2822</v>
      </c>
      <c r="E96" s="8">
        <f>VLOOKUP(B96,T.productos!$A$1:$E$15,4,0)</f>
        <v>0.97</v>
      </c>
      <c r="F96" s="8">
        <f>VLOOKUP(B96,T.productos!$A$1:$E$15,5,0)</f>
        <v>0.19</v>
      </c>
      <c r="G96" s="9">
        <f t="shared" si="1"/>
        <v>0.80412371134020622</v>
      </c>
    </row>
    <row r="97" spans="1:7" x14ac:dyDescent="0.25">
      <c r="A97" s="4">
        <v>4</v>
      </c>
      <c r="B97" s="5">
        <v>10</v>
      </c>
      <c r="C97" s="6">
        <v>39380</v>
      </c>
      <c r="D97" s="7">
        <v>1733</v>
      </c>
      <c r="E97" s="8">
        <f>VLOOKUP(B97,T.productos!$A$1:$E$15,4,0)</f>
        <v>0.61</v>
      </c>
      <c r="F97" s="8">
        <f>VLOOKUP(B97,T.productos!$A$1:$E$15,5,0)</f>
        <v>0.4</v>
      </c>
      <c r="G97" s="9">
        <f t="shared" si="1"/>
        <v>0.34426229508196721</v>
      </c>
    </row>
    <row r="98" spans="1:7" x14ac:dyDescent="0.25">
      <c r="A98" s="4">
        <v>1</v>
      </c>
      <c r="B98" s="5">
        <v>6</v>
      </c>
      <c r="C98" s="6">
        <v>39229</v>
      </c>
      <c r="D98" s="7">
        <v>2548</v>
      </c>
      <c r="E98" s="8">
        <f>VLOOKUP(B98,T.productos!$A$1:$E$15,4,0)</f>
        <v>2.42</v>
      </c>
      <c r="F98" s="8">
        <f>VLOOKUP(B98,T.productos!$A$1:$E$15,5,0)</f>
        <v>2.2799999999999998</v>
      </c>
      <c r="G98" s="9">
        <f t="shared" si="1"/>
        <v>5.7851239669421489E-2</v>
      </c>
    </row>
    <row r="99" spans="1:7" x14ac:dyDescent="0.25">
      <c r="A99" s="4">
        <v>4</v>
      </c>
      <c r="B99" s="5">
        <v>5</v>
      </c>
      <c r="C99" s="6">
        <v>38272</v>
      </c>
      <c r="D99" s="7">
        <v>2259</v>
      </c>
      <c r="E99" s="8">
        <f>VLOOKUP(B99,T.productos!$A$1:$E$15,4,0)</f>
        <v>2.54</v>
      </c>
      <c r="F99" s="8">
        <f>VLOOKUP(B99,T.productos!$A$1:$E$15,5,0)</f>
        <v>2.2799999999999998</v>
      </c>
      <c r="G99" s="9">
        <f t="shared" si="1"/>
        <v>0.10236220472440945</v>
      </c>
    </row>
    <row r="100" spans="1:7" x14ac:dyDescent="0.25">
      <c r="A100" s="4">
        <v>3</v>
      </c>
      <c r="B100" s="5">
        <v>8</v>
      </c>
      <c r="C100" s="6">
        <v>39878</v>
      </c>
      <c r="D100" s="7">
        <v>1988</v>
      </c>
      <c r="E100" s="8">
        <f>VLOOKUP(B100,T.productos!$A$1:$E$15,4,0)</f>
        <v>3.63</v>
      </c>
      <c r="F100" s="8">
        <f>VLOOKUP(B100,T.productos!$A$1:$E$15,5,0)</f>
        <v>3.35</v>
      </c>
      <c r="G100" s="9">
        <f t="shared" si="1"/>
        <v>7.7134986225895319E-2</v>
      </c>
    </row>
    <row r="101" spans="1:7" x14ac:dyDescent="0.25">
      <c r="A101" s="4">
        <v>2</v>
      </c>
      <c r="B101" s="5">
        <v>4</v>
      </c>
      <c r="C101" s="6">
        <v>39001</v>
      </c>
      <c r="D101" s="7">
        <v>1545</v>
      </c>
      <c r="E101" s="8">
        <f>VLOOKUP(B101,T.productos!$A$1:$E$15,4,0)</f>
        <v>0.61</v>
      </c>
      <c r="F101" s="8">
        <f>VLOOKUP(B101,T.productos!$A$1:$E$15,5,0)</f>
        <v>0.28999999999999998</v>
      </c>
      <c r="G101" s="9">
        <f t="shared" si="1"/>
        <v>0.52459016393442626</v>
      </c>
    </row>
    <row r="102" spans="1:7" x14ac:dyDescent="0.25">
      <c r="A102" s="4">
        <v>5</v>
      </c>
      <c r="B102" s="5">
        <v>5</v>
      </c>
      <c r="C102" s="6">
        <v>39715</v>
      </c>
      <c r="D102" s="7">
        <v>1714</v>
      </c>
      <c r="E102" s="8">
        <f>VLOOKUP(B102,T.productos!$A$1:$E$15,4,0)</f>
        <v>2.54</v>
      </c>
      <c r="F102" s="8">
        <f>VLOOKUP(B102,T.productos!$A$1:$E$15,5,0)</f>
        <v>2.2799999999999998</v>
      </c>
      <c r="G102" s="9">
        <f t="shared" si="1"/>
        <v>0.10236220472440945</v>
      </c>
    </row>
    <row r="103" spans="1:7" x14ac:dyDescent="0.25">
      <c r="A103" s="4">
        <v>1</v>
      </c>
      <c r="B103" s="5">
        <v>10</v>
      </c>
      <c r="C103" s="6">
        <v>39591</v>
      </c>
      <c r="D103" s="7">
        <v>1160</v>
      </c>
      <c r="E103" s="8">
        <f>VLOOKUP(B103,T.productos!$A$1:$E$15,4,0)</f>
        <v>0.61</v>
      </c>
      <c r="F103" s="8">
        <f>VLOOKUP(B103,T.productos!$A$1:$E$15,5,0)</f>
        <v>0.4</v>
      </c>
      <c r="G103" s="9">
        <f t="shared" si="1"/>
        <v>0.34426229508196721</v>
      </c>
    </row>
    <row r="104" spans="1:7" x14ac:dyDescent="0.25">
      <c r="A104" s="4">
        <v>5</v>
      </c>
      <c r="B104" s="5">
        <v>9</v>
      </c>
      <c r="C104" s="6">
        <v>39135</v>
      </c>
      <c r="D104" s="7">
        <v>2463</v>
      </c>
      <c r="E104" s="8">
        <f>VLOOKUP(B104,T.productos!$A$1:$E$15,4,0)</f>
        <v>1.21</v>
      </c>
      <c r="F104" s="8">
        <f>VLOOKUP(B104,T.productos!$A$1:$E$15,5,0)</f>
        <v>0.36</v>
      </c>
      <c r="G104" s="9">
        <f t="shared" si="1"/>
        <v>0.7024793388429752</v>
      </c>
    </row>
    <row r="105" spans="1:7" x14ac:dyDescent="0.25">
      <c r="A105" s="4">
        <v>4</v>
      </c>
      <c r="B105" s="5">
        <v>5</v>
      </c>
      <c r="C105" s="6">
        <v>38617</v>
      </c>
      <c r="D105" s="7">
        <v>2285</v>
      </c>
      <c r="E105" s="8">
        <f>VLOOKUP(B105,T.productos!$A$1:$E$15,4,0)</f>
        <v>2.54</v>
      </c>
      <c r="F105" s="8">
        <f>VLOOKUP(B105,T.productos!$A$1:$E$15,5,0)</f>
        <v>2.2799999999999998</v>
      </c>
      <c r="G105" s="9">
        <f t="shared" si="1"/>
        <v>0.10236220472440945</v>
      </c>
    </row>
    <row r="106" spans="1:7" x14ac:dyDescent="0.25">
      <c r="A106" s="4">
        <v>4</v>
      </c>
      <c r="B106" s="5">
        <v>13</v>
      </c>
      <c r="C106" s="6">
        <v>38188</v>
      </c>
      <c r="D106" s="7">
        <v>619</v>
      </c>
      <c r="E106" s="8">
        <f>VLOOKUP(B106,T.productos!$A$1:$E$15,4,0)</f>
        <v>0.24</v>
      </c>
      <c r="F106" s="8">
        <f>VLOOKUP(B106,T.productos!$A$1:$E$15,5,0)</f>
        <v>0.12</v>
      </c>
      <c r="G106" s="9">
        <f t="shared" si="1"/>
        <v>0.5</v>
      </c>
    </row>
    <row r="107" spans="1:7" x14ac:dyDescent="0.25">
      <c r="A107" s="4">
        <v>2</v>
      </c>
      <c r="B107" s="5">
        <v>5</v>
      </c>
      <c r="C107" s="6">
        <v>39147</v>
      </c>
      <c r="D107" s="7">
        <v>2323</v>
      </c>
      <c r="E107" s="8">
        <f>VLOOKUP(B107,T.productos!$A$1:$E$15,4,0)</f>
        <v>2.54</v>
      </c>
      <c r="F107" s="8">
        <f>VLOOKUP(B107,T.productos!$A$1:$E$15,5,0)</f>
        <v>2.2799999999999998</v>
      </c>
      <c r="G107" s="9">
        <f t="shared" si="1"/>
        <v>0.10236220472440945</v>
      </c>
    </row>
    <row r="108" spans="1:7" x14ac:dyDescent="0.25">
      <c r="A108" s="4">
        <v>3</v>
      </c>
      <c r="B108" s="5">
        <v>9</v>
      </c>
      <c r="C108" s="6">
        <v>38712</v>
      </c>
      <c r="D108" s="7">
        <v>813</v>
      </c>
      <c r="E108" s="8">
        <f>VLOOKUP(B108,T.productos!$A$1:$E$15,4,0)</f>
        <v>1.21</v>
      </c>
      <c r="F108" s="8">
        <f>VLOOKUP(B108,T.productos!$A$1:$E$15,5,0)</f>
        <v>0.36</v>
      </c>
      <c r="G108" s="9">
        <f t="shared" si="1"/>
        <v>0.7024793388429752</v>
      </c>
    </row>
    <row r="109" spans="1:7" x14ac:dyDescent="0.25">
      <c r="A109" s="4">
        <v>2</v>
      </c>
      <c r="B109" s="5">
        <v>8</v>
      </c>
      <c r="C109" s="6">
        <v>39927</v>
      </c>
      <c r="D109" s="7">
        <v>1466</v>
      </c>
      <c r="E109" s="8">
        <f>VLOOKUP(B109,T.productos!$A$1:$E$15,4,0)</f>
        <v>3.63</v>
      </c>
      <c r="F109" s="8">
        <f>VLOOKUP(B109,T.productos!$A$1:$E$15,5,0)</f>
        <v>3.35</v>
      </c>
      <c r="G109" s="9">
        <f t="shared" si="1"/>
        <v>7.7134986225895319E-2</v>
      </c>
    </row>
    <row r="110" spans="1:7" x14ac:dyDescent="0.25">
      <c r="A110" s="4">
        <v>2</v>
      </c>
      <c r="B110" s="5">
        <v>14</v>
      </c>
      <c r="C110" s="6">
        <v>38891</v>
      </c>
      <c r="D110" s="7">
        <v>1480</v>
      </c>
      <c r="E110" s="8">
        <f>VLOOKUP(B110,T.productos!$A$1:$E$15,4,0)</f>
        <v>3.63</v>
      </c>
      <c r="F110" s="8">
        <f>VLOOKUP(B110,T.productos!$A$1:$E$15,5,0)</f>
        <v>3.2</v>
      </c>
      <c r="G110" s="9">
        <f t="shared" si="1"/>
        <v>0.1184573002754821</v>
      </c>
    </row>
    <row r="111" spans="1:7" x14ac:dyDescent="0.25">
      <c r="A111" s="4">
        <v>4</v>
      </c>
      <c r="B111" s="5">
        <v>4</v>
      </c>
      <c r="C111" s="6">
        <v>38374</v>
      </c>
      <c r="D111" s="7">
        <v>2820</v>
      </c>
      <c r="E111" s="8">
        <f>VLOOKUP(B111,T.productos!$A$1:$E$15,4,0)</f>
        <v>0.61</v>
      </c>
      <c r="F111" s="8">
        <f>VLOOKUP(B111,T.productos!$A$1:$E$15,5,0)</f>
        <v>0.28999999999999998</v>
      </c>
      <c r="G111" s="9">
        <f t="shared" si="1"/>
        <v>0.52459016393442626</v>
      </c>
    </row>
    <row r="112" spans="1:7" x14ac:dyDescent="0.25">
      <c r="A112" s="4">
        <v>3</v>
      </c>
      <c r="B112" s="5">
        <v>2</v>
      </c>
      <c r="C112" s="6">
        <v>39805</v>
      </c>
      <c r="D112" s="7">
        <v>2823</v>
      </c>
      <c r="E112" s="8">
        <f>VLOOKUP(B112,T.productos!$A$1:$E$15,4,0)</f>
        <v>1.63</v>
      </c>
      <c r="F112" s="8">
        <f>VLOOKUP(B112,T.productos!$A$1:$E$15,5,0)</f>
        <v>1.42</v>
      </c>
      <c r="G112" s="9">
        <f t="shared" si="1"/>
        <v>0.12883435582822086</v>
      </c>
    </row>
    <row r="113" spans="1:7" x14ac:dyDescent="0.25">
      <c r="A113" s="4">
        <v>5</v>
      </c>
      <c r="B113" s="5">
        <v>7</v>
      </c>
      <c r="C113" s="6">
        <v>39726</v>
      </c>
      <c r="D113" s="7">
        <v>728</v>
      </c>
      <c r="E113" s="8">
        <f>VLOOKUP(B113,T.productos!$A$1:$E$15,4,0)</f>
        <v>0.97</v>
      </c>
      <c r="F113" s="8">
        <f>VLOOKUP(B113,T.productos!$A$1:$E$15,5,0)</f>
        <v>0.19</v>
      </c>
      <c r="G113" s="9">
        <f t="shared" si="1"/>
        <v>0.80412371134020622</v>
      </c>
    </row>
    <row r="114" spans="1:7" x14ac:dyDescent="0.25">
      <c r="A114" s="4">
        <v>2</v>
      </c>
      <c r="B114" s="5">
        <v>6</v>
      </c>
      <c r="C114" s="6">
        <v>39432</v>
      </c>
      <c r="D114" s="7">
        <v>2787</v>
      </c>
      <c r="E114" s="8">
        <f>VLOOKUP(B114,T.productos!$A$1:$E$15,4,0)</f>
        <v>2.42</v>
      </c>
      <c r="F114" s="8">
        <f>VLOOKUP(B114,T.productos!$A$1:$E$15,5,0)</f>
        <v>2.2799999999999998</v>
      </c>
      <c r="G114" s="9">
        <f t="shared" si="1"/>
        <v>5.7851239669421489E-2</v>
      </c>
    </row>
    <row r="115" spans="1:7" x14ac:dyDescent="0.25">
      <c r="A115" s="4">
        <v>1</v>
      </c>
      <c r="B115" s="5">
        <v>12</v>
      </c>
      <c r="C115" s="6">
        <v>39873</v>
      </c>
      <c r="D115" s="7">
        <v>2890</v>
      </c>
      <c r="E115" s="8">
        <f>VLOOKUP(B115,T.productos!$A$1:$E$15,4,0)</f>
        <v>2.42</v>
      </c>
      <c r="F115" s="8">
        <f>VLOOKUP(B115,T.productos!$A$1:$E$15,5,0)</f>
        <v>1.68</v>
      </c>
      <c r="G115" s="9">
        <f t="shared" si="1"/>
        <v>0.30578512396694213</v>
      </c>
    </row>
    <row r="116" spans="1:7" x14ac:dyDescent="0.25">
      <c r="A116" s="4">
        <v>1</v>
      </c>
      <c r="B116" s="5">
        <v>8</v>
      </c>
      <c r="C116" s="6">
        <v>38388</v>
      </c>
      <c r="D116" s="7">
        <v>594</v>
      </c>
      <c r="E116" s="8">
        <f>VLOOKUP(B116,T.productos!$A$1:$E$15,4,0)</f>
        <v>3.63</v>
      </c>
      <c r="F116" s="8">
        <f>VLOOKUP(B116,T.productos!$A$1:$E$15,5,0)</f>
        <v>3.35</v>
      </c>
      <c r="G116" s="9">
        <f t="shared" si="1"/>
        <v>7.7134986225895319E-2</v>
      </c>
    </row>
    <row r="117" spans="1:7" x14ac:dyDescent="0.25">
      <c r="A117" s="4">
        <v>1</v>
      </c>
      <c r="B117" s="5">
        <v>5</v>
      </c>
      <c r="C117" s="6">
        <v>38609</v>
      </c>
      <c r="D117" s="7">
        <v>1708</v>
      </c>
      <c r="E117" s="8">
        <f>VLOOKUP(B117,T.productos!$A$1:$E$15,4,0)</f>
        <v>2.54</v>
      </c>
      <c r="F117" s="8">
        <f>VLOOKUP(B117,T.productos!$A$1:$E$15,5,0)</f>
        <v>2.2799999999999998</v>
      </c>
      <c r="G117" s="9">
        <f t="shared" si="1"/>
        <v>0.10236220472440945</v>
      </c>
    </row>
    <row r="118" spans="1:7" x14ac:dyDescent="0.25">
      <c r="A118" s="4">
        <v>3</v>
      </c>
      <c r="B118" s="5">
        <v>9</v>
      </c>
      <c r="C118" s="6">
        <v>39805</v>
      </c>
      <c r="D118" s="7">
        <v>2453</v>
      </c>
      <c r="E118" s="8">
        <f>VLOOKUP(B118,T.productos!$A$1:$E$15,4,0)</f>
        <v>1.21</v>
      </c>
      <c r="F118" s="8">
        <f>VLOOKUP(B118,T.productos!$A$1:$E$15,5,0)</f>
        <v>0.36</v>
      </c>
      <c r="G118" s="9">
        <f t="shared" si="1"/>
        <v>0.7024793388429752</v>
      </c>
    </row>
    <row r="119" spans="1:7" x14ac:dyDescent="0.25">
      <c r="A119" s="4">
        <v>3</v>
      </c>
      <c r="B119" s="5">
        <v>12</v>
      </c>
      <c r="C119" s="6">
        <v>38449</v>
      </c>
      <c r="D119" s="7">
        <v>2812</v>
      </c>
      <c r="E119" s="8">
        <f>VLOOKUP(B119,T.productos!$A$1:$E$15,4,0)</f>
        <v>2.42</v>
      </c>
      <c r="F119" s="8">
        <f>VLOOKUP(B119,T.productos!$A$1:$E$15,5,0)</f>
        <v>1.68</v>
      </c>
      <c r="G119" s="9">
        <f t="shared" si="1"/>
        <v>0.30578512396694213</v>
      </c>
    </row>
    <row r="120" spans="1:7" x14ac:dyDescent="0.25">
      <c r="A120" s="4">
        <v>2</v>
      </c>
      <c r="B120" s="5">
        <v>11</v>
      </c>
      <c r="C120" s="6">
        <v>38974</v>
      </c>
      <c r="D120" s="7">
        <v>2992</v>
      </c>
      <c r="E120" s="8">
        <f>VLOOKUP(B120,T.productos!$A$1:$E$15,4,0)</f>
        <v>1.21</v>
      </c>
      <c r="F120" s="8">
        <f>VLOOKUP(B120,T.productos!$A$1:$E$15,5,0)</f>
        <v>0.72</v>
      </c>
      <c r="G120" s="9">
        <f t="shared" si="1"/>
        <v>0.4049586776859504</v>
      </c>
    </row>
    <row r="121" spans="1:7" x14ac:dyDescent="0.25">
      <c r="A121" s="4">
        <v>1</v>
      </c>
      <c r="B121" s="5">
        <v>4</v>
      </c>
      <c r="C121" s="6">
        <v>38038</v>
      </c>
      <c r="D121" s="7">
        <v>1560</v>
      </c>
      <c r="E121" s="8">
        <f>VLOOKUP(B121,T.productos!$A$1:$E$15,4,0)</f>
        <v>0.61</v>
      </c>
      <c r="F121" s="8">
        <f>VLOOKUP(B121,T.productos!$A$1:$E$15,5,0)</f>
        <v>0.28999999999999998</v>
      </c>
      <c r="G121" s="9">
        <f t="shared" si="1"/>
        <v>0.52459016393442626</v>
      </c>
    </row>
    <row r="122" spans="1:7" x14ac:dyDescent="0.25">
      <c r="A122" s="4">
        <v>1</v>
      </c>
      <c r="B122" s="5">
        <v>13</v>
      </c>
      <c r="C122" s="6">
        <v>39541</v>
      </c>
      <c r="D122" s="7">
        <v>493</v>
      </c>
      <c r="E122" s="8">
        <f>VLOOKUP(B122,T.productos!$A$1:$E$15,4,0)</f>
        <v>0.24</v>
      </c>
      <c r="F122" s="8">
        <f>VLOOKUP(B122,T.productos!$A$1:$E$15,5,0)</f>
        <v>0.12</v>
      </c>
      <c r="G122" s="9">
        <f t="shared" si="1"/>
        <v>0.5</v>
      </c>
    </row>
    <row r="123" spans="1:7" x14ac:dyDescent="0.25">
      <c r="A123" s="4">
        <v>4</v>
      </c>
      <c r="B123" s="5">
        <v>10</v>
      </c>
      <c r="C123" s="6">
        <v>39991</v>
      </c>
      <c r="D123" s="7">
        <v>2853</v>
      </c>
      <c r="E123" s="8">
        <f>VLOOKUP(B123,T.productos!$A$1:$E$15,4,0)</f>
        <v>0.61</v>
      </c>
      <c r="F123" s="8">
        <f>VLOOKUP(B123,T.productos!$A$1:$E$15,5,0)</f>
        <v>0.4</v>
      </c>
      <c r="G123" s="9">
        <f t="shared" si="1"/>
        <v>0.34426229508196721</v>
      </c>
    </row>
    <row r="124" spans="1:7" x14ac:dyDescent="0.25">
      <c r="A124" s="4">
        <v>2</v>
      </c>
      <c r="B124" s="5">
        <v>13</v>
      </c>
      <c r="C124" s="6">
        <v>38568</v>
      </c>
      <c r="D124" s="7">
        <v>610</v>
      </c>
      <c r="E124" s="8">
        <f>VLOOKUP(B124,T.productos!$A$1:$E$15,4,0)</f>
        <v>0.24</v>
      </c>
      <c r="F124" s="8">
        <f>VLOOKUP(B124,T.productos!$A$1:$E$15,5,0)</f>
        <v>0.12</v>
      </c>
      <c r="G124" s="9">
        <f t="shared" si="1"/>
        <v>0.5</v>
      </c>
    </row>
    <row r="125" spans="1:7" x14ac:dyDescent="0.25">
      <c r="A125" s="4">
        <v>4</v>
      </c>
      <c r="B125" s="5">
        <v>4</v>
      </c>
      <c r="C125" s="6">
        <v>38115</v>
      </c>
      <c r="D125" s="7">
        <v>1182</v>
      </c>
      <c r="E125" s="8">
        <f>VLOOKUP(B125,T.productos!$A$1:$E$15,4,0)</f>
        <v>0.61</v>
      </c>
      <c r="F125" s="8">
        <f>VLOOKUP(B125,T.productos!$A$1:$E$15,5,0)</f>
        <v>0.28999999999999998</v>
      </c>
      <c r="G125" s="9">
        <f t="shared" si="1"/>
        <v>0.52459016393442626</v>
      </c>
    </row>
    <row r="126" spans="1:7" x14ac:dyDescent="0.25">
      <c r="A126" s="4">
        <v>2</v>
      </c>
      <c r="B126" s="5">
        <v>8</v>
      </c>
      <c r="C126" s="6">
        <v>39498</v>
      </c>
      <c r="D126" s="7">
        <v>746</v>
      </c>
      <c r="E126" s="8">
        <f>VLOOKUP(B126,T.productos!$A$1:$E$15,4,0)</f>
        <v>3.63</v>
      </c>
      <c r="F126" s="8">
        <f>VLOOKUP(B126,T.productos!$A$1:$E$15,5,0)</f>
        <v>3.35</v>
      </c>
      <c r="G126" s="9">
        <f t="shared" si="1"/>
        <v>7.7134986225895319E-2</v>
      </c>
    </row>
    <row r="127" spans="1:7" x14ac:dyDescent="0.25">
      <c r="A127" s="4">
        <v>2</v>
      </c>
      <c r="B127" s="5">
        <v>6</v>
      </c>
      <c r="C127" s="6">
        <v>38008</v>
      </c>
      <c r="D127" s="7">
        <v>1410</v>
      </c>
      <c r="E127" s="8">
        <f>VLOOKUP(B127,T.productos!$A$1:$E$15,4,0)</f>
        <v>2.42</v>
      </c>
      <c r="F127" s="8">
        <f>VLOOKUP(B127,T.productos!$A$1:$E$15,5,0)</f>
        <v>2.2799999999999998</v>
      </c>
      <c r="G127" s="9">
        <f t="shared" si="1"/>
        <v>5.7851239669421489E-2</v>
      </c>
    </row>
    <row r="128" spans="1:7" x14ac:dyDescent="0.25">
      <c r="A128" s="4">
        <v>1</v>
      </c>
      <c r="B128" s="5">
        <v>11</v>
      </c>
      <c r="C128" s="6">
        <v>38639</v>
      </c>
      <c r="D128" s="7">
        <v>882</v>
      </c>
      <c r="E128" s="8">
        <f>VLOOKUP(B128,T.productos!$A$1:$E$15,4,0)</f>
        <v>1.21</v>
      </c>
      <c r="F128" s="8">
        <f>VLOOKUP(B128,T.productos!$A$1:$E$15,5,0)</f>
        <v>0.72</v>
      </c>
      <c r="G128" s="9">
        <f t="shared" si="1"/>
        <v>0.4049586776859504</v>
      </c>
    </row>
    <row r="129" spans="1:7" x14ac:dyDescent="0.25">
      <c r="A129" s="4">
        <v>5</v>
      </c>
      <c r="B129" s="5">
        <v>12</v>
      </c>
      <c r="C129" s="6">
        <v>38997</v>
      </c>
      <c r="D129" s="7">
        <v>1726</v>
      </c>
      <c r="E129" s="8">
        <f>VLOOKUP(B129,T.productos!$A$1:$E$15,4,0)</f>
        <v>2.42</v>
      </c>
      <c r="F129" s="8">
        <f>VLOOKUP(B129,T.productos!$A$1:$E$15,5,0)</f>
        <v>1.68</v>
      </c>
      <c r="G129" s="9">
        <f t="shared" si="1"/>
        <v>0.30578512396694213</v>
      </c>
    </row>
    <row r="130" spans="1:7" x14ac:dyDescent="0.25">
      <c r="A130" s="4">
        <v>4</v>
      </c>
      <c r="B130" s="5">
        <v>3</v>
      </c>
      <c r="C130" s="6">
        <v>38265</v>
      </c>
      <c r="D130" s="7">
        <v>1828</v>
      </c>
      <c r="E130" s="8">
        <f>VLOOKUP(B130,T.productos!$A$1:$E$15,4,0)</f>
        <v>1.94</v>
      </c>
      <c r="F130" s="8">
        <f>VLOOKUP(B130,T.productos!$A$1:$E$15,5,0)</f>
        <v>1.89</v>
      </c>
      <c r="G130" s="9">
        <f t="shared" ref="G130:G193" si="2">margen(D130,E130,F130)</f>
        <v>2.5773195876288658E-2</v>
      </c>
    </row>
    <row r="131" spans="1:7" x14ac:dyDescent="0.25">
      <c r="A131" s="4">
        <v>3</v>
      </c>
      <c r="B131" s="5">
        <v>14</v>
      </c>
      <c r="C131" s="6">
        <v>38275</v>
      </c>
      <c r="D131" s="7">
        <v>2562</v>
      </c>
      <c r="E131" s="8">
        <f>VLOOKUP(B131,T.productos!$A$1:$E$15,4,0)</f>
        <v>3.63</v>
      </c>
      <c r="F131" s="8">
        <f>VLOOKUP(B131,T.productos!$A$1:$E$15,5,0)</f>
        <v>3.2</v>
      </c>
      <c r="G131" s="9">
        <f t="shared" si="2"/>
        <v>0.1184573002754821</v>
      </c>
    </row>
    <row r="132" spans="1:7" x14ac:dyDescent="0.25">
      <c r="A132" s="4">
        <v>3</v>
      </c>
      <c r="B132" s="5">
        <v>5</v>
      </c>
      <c r="C132" s="6">
        <v>38919</v>
      </c>
      <c r="D132" s="7">
        <v>1983</v>
      </c>
      <c r="E132" s="8">
        <f>VLOOKUP(B132,T.productos!$A$1:$E$15,4,0)</f>
        <v>2.54</v>
      </c>
      <c r="F132" s="8">
        <f>VLOOKUP(B132,T.productos!$A$1:$E$15,5,0)</f>
        <v>2.2799999999999998</v>
      </c>
      <c r="G132" s="9">
        <f t="shared" si="2"/>
        <v>0.10236220472440945</v>
      </c>
    </row>
    <row r="133" spans="1:7" x14ac:dyDescent="0.25">
      <c r="A133" s="4">
        <v>3</v>
      </c>
      <c r="B133" s="5">
        <v>10</v>
      </c>
      <c r="C133" s="6">
        <v>39363</v>
      </c>
      <c r="D133" s="7">
        <v>1222</v>
      </c>
      <c r="E133" s="8">
        <f>VLOOKUP(B133,T.productos!$A$1:$E$15,4,0)</f>
        <v>0.61</v>
      </c>
      <c r="F133" s="8">
        <f>VLOOKUP(B133,T.productos!$A$1:$E$15,5,0)</f>
        <v>0.4</v>
      </c>
      <c r="G133" s="9">
        <f t="shared" si="2"/>
        <v>0.34426229508196721</v>
      </c>
    </row>
    <row r="134" spans="1:7" x14ac:dyDescent="0.25">
      <c r="A134" s="4">
        <v>3</v>
      </c>
      <c r="B134" s="5">
        <v>12</v>
      </c>
      <c r="C134" s="6">
        <v>38174</v>
      </c>
      <c r="D134" s="7">
        <v>366</v>
      </c>
      <c r="E134" s="8">
        <f>VLOOKUP(B134,T.productos!$A$1:$E$15,4,0)</f>
        <v>2.42</v>
      </c>
      <c r="F134" s="8">
        <f>VLOOKUP(B134,T.productos!$A$1:$E$15,5,0)</f>
        <v>1.68</v>
      </c>
      <c r="G134" s="9">
        <f t="shared" si="2"/>
        <v>0.30578512396694213</v>
      </c>
    </row>
    <row r="135" spans="1:7" x14ac:dyDescent="0.25">
      <c r="A135" s="4">
        <v>4</v>
      </c>
      <c r="B135" s="5">
        <v>9</v>
      </c>
      <c r="C135" s="6">
        <v>38310</v>
      </c>
      <c r="D135" s="7">
        <v>1309</v>
      </c>
      <c r="E135" s="8">
        <f>VLOOKUP(B135,T.productos!$A$1:$E$15,4,0)</f>
        <v>1.21</v>
      </c>
      <c r="F135" s="8">
        <f>VLOOKUP(B135,T.productos!$A$1:$E$15,5,0)</f>
        <v>0.36</v>
      </c>
      <c r="G135" s="9">
        <f t="shared" si="2"/>
        <v>0.7024793388429752</v>
      </c>
    </row>
    <row r="136" spans="1:7" x14ac:dyDescent="0.25">
      <c r="A136" s="4">
        <v>1</v>
      </c>
      <c r="B136" s="5">
        <v>10</v>
      </c>
      <c r="C136" s="6">
        <v>39600</v>
      </c>
      <c r="D136" s="7">
        <v>866</v>
      </c>
      <c r="E136" s="8">
        <f>VLOOKUP(B136,T.productos!$A$1:$E$15,4,0)</f>
        <v>0.61</v>
      </c>
      <c r="F136" s="8">
        <f>VLOOKUP(B136,T.productos!$A$1:$E$15,5,0)</f>
        <v>0.4</v>
      </c>
      <c r="G136" s="9">
        <f t="shared" si="2"/>
        <v>0.34426229508196721</v>
      </c>
    </row>
    <row r="137" spans="1:7" x14ac:dyDescent="0.25">
      <c r="A137" s="4">
        <v>4</v>
      </c>
      <c r="B137" s="5">
        <v>2</v>
      </c>
      <c r="C137" s="6">
        <v>38540</v>
      </c>
      <c r="D137" s="7">
        <v>783</v>
      </c>
      <c r="E137" s="8">
        <f>VLOOKUP(B137,T.productos!$A$1:$E$15,4,0)</f>
        <v>1.63</v>
      </c>
      <c r="F137" s="8">
        <f>VLOOKUP(B137,T.productos!$A$1:$E$15,5,0)</f>
        <v>1.42</v>
      </c>
      <c r="G137" s="9">
        <f t="shared" si="2"/>
        <v>0.12883435582822086</v>
      </c>
    </row>
    <row r="138" spans="1:7" x14ac:dyDescent="0.25">
      <c r="A138" s="4">
        <v>3</v>
      </c>
      <c r="B138" s="5">
        <v>1</v>
      </c>
      <c r="C138" s="6">
        <v>38970</v>
      </c>
      <c r="D138" s="7">
        <v>796</v>
      </c>
      <c r="E138" s="8">
        <f>VLOOKUP(B138,T.productos!$A$1:$E$15,4,0)</f>
        <v>3.93</v>
      </c>
      <c r="F138" s="8">
        <f>VLOOKUP(B138,T.productos!$A$1:$E$15,5,0)</f>
        <v>3.4</v>
      </c>
      <c r="G138" s="9">
        <f t="shared" si="2"/>
        <v>0.13486005089058525</v>
      </c>
    </row>
    <row r="139" spans="1:7" x14ac:dyDescent="0.25">
      <c r="A139" s="4">
        <v>2</v>
      </c>
      <c r="B139" s="5">
        <v>3</v>
      </c>
      <c r="C139" s="6">
        <v>39825</v>
      </c>
      <c r="D139" s="7">
        <v>778</v>
      </c>
      <c r="E139" s="8">
        <f>VLOOKUP(B139,T.productos!$A$1:$E$15,4,0)</f>
        <v>1.94</v>
      </c>
      <c r="F139" s="8">
        <f>VLOOKUP(B139,T.productos!$A$1:$E$15,5,0)</f>
        <v>1.89</v>
      </c>
      <c r="G139" s="9">
        <f t="shared" si="2"/>
        <v>2.5773195876288658E-2</v>
      </c>
    </row>
    <row r="140" spans="1:7" x14ac:dyDescent="0.25">
      <c r="A140" s="4">
        <v>5</v>
      </c>
      <c r="B140" s="5">
        <v>9</v>
      </c>
      <c r="C140" s="6">
        <v>39811</v>
      </c>
      <c r="D140" s="7">
        <v>638</v>
      </c>
      <c r="E140" s="8">
        <f>VLOOKUP(B140,T.productos!$A$1:$E$15,4,0)</f>
        <v>1.21</v>
      </c>
      <c r="F140" s="8">
        <f>VLOOKUP(B140,T.productos!$A$1:$E$15,5,0)</f>
        <v>0.36</v>
      </c>
      <c r="G140" s="9">
        <f t="shared" si="2"/>
        <v>0.7024793388429752</v>
      </c>
    </row>
    <row r="141" spans="1:7" x14ac:dyDescent="0.25">
      <c r="A141" s="4">
        <v>3</v>
      </c>
      <c r="B141" s="5">
        <v>13</v>
      </c>
      <c r="C141" s="6">
        <v>38032</v>
      </c>
      <c r="D141" s="7">
        <v>2613</v>
      </c>
      <c r="E141" s="8">
        <f>VLOOKUP(B141,T.productos!$A$1:$E$15,4,0)</f>
        <v>0.24</v>
      </c>
      <c r="F141" s="8">
        <f>VLOOKUP(B141,T.productos!$A$1:$E$15,5,0)</f>
        <v>0.12</v>
      </c>
      <c r="G141" s="9">
        <f t="shared" si="2"/>
        <v>0.5</v>
      </c>
    </row>
    <row r="142" spans="1:7" x14ac:dyDescent="0.25">
      <c r="A142" s="4">
        <v>2</v>
      </c>
      <c r="B142" s="5">
        <v>6</v>
      </c>
      <c r="C142" s="6">
        <v>38972</v>
      </c>
      <c r="D142" s="7">
        <v>1356</v>
      </c>
      <c r="E142" s="8">
        <f>VLOOKUP(B142,T.productos!$A$1:$E$15,4,0)</f>
        <v>2.42</v>
      </c>
      <c r="F142" s="8">
        <f>VLOOKUP(B142,T.productos!$A$1:$E$15,5,0)</f>
        <v>2.2799999999999998</v>
      </c>
      <c r="G142" s="9">
        <f t="shared" si="2"/>
        <v>5.7851239669421489E-2</v>
      </c>
    </row>
    <row r="143" spans="1:7" x14ac:dyDescent="0.25">
      <c r="A143" s="4">
        <v>4</v>
      </c>
      <c r="B143" s="5">
        <v>13</v>
      </c>
      <c r="C143" s="6">
        <v>38517</v>
      </c>
      <c r="D143" s="7">
        <v>408</v>
      </c>
      <c r="E143" s="8">
        <f>VLOOKUP(B143,T.productos!$A$1:$E$15,4,0)</f>
        <v>0.24</v>
      </c>
      <c r="F143" s="8">
        <f>VLOOKUP(B143,T.productos!$A$1:$E$15,5,0)</f>
        <v>0.12</v>
      </c>
      <c r="G143" s="9">
        <f t="shared" si="2"/>
        <v>0.5</v>
      </c>
    </row>
    <row r="144" spans="1:7" x14ac:dyDescent="0.25">
      <c r="A144" s="4">
        <v>3</v>
      </c>
      <c r="B144" s="5">
        <v>9</v>
      </c>
      <c r="C144" s="6">
        <v>38398</v>
      </c>
      <c r="D144" s="7">
        <v>1868</v>
      </c>
      <c r="E144" s="8">
        <f>VLOOKUP(B144,T.productos!$A$1:$E$15,4,0)</f>
        <v>1.21</v>
      </c>
      <c r="F144" s="8">
        <f>VLOOKUP(B144,T.productos!$A$1:$E$15,5,0)</f>
        <v>0.36</v>
      </c>
      <c r="G144" s="9">
        <f t="shared" si="2"/>
        <v>0.7024793388429752</v>
      </c>
    </row>
    <row r="145" spans="1:7" x14ac:dyDescent="0.25">
      <c r="A145" s="4">
        <v>5</v>
      </c>
      <c r="B145" s="5">
        <v>11</v>
      </c>
      <c r="C145" s="6">
        <v>39319</v>
      </c>
      <c r="D145" s="7">
        <v>1399</v>
      </c>
      <c r="E145" s="8">
        <f>VLOOKUP(B145,T.productos!$A$1:$E$15,4,0)</f>
        <v>1.21</v>
      </c>
      <c r="F145" s="8">
        <f>VLOOKUP(B145,T.productos!$A$1:$E$15,5,0)</f>
        <v>0.72</v>
      </c>
      <c r="G145" s="9">
        <f t="shared" si="2"/>
        <v>0.4049586776859504</v>
      </c>
    </row>
    <row r="146" spans="1:7" x14ac:dyDescent="0.25">
      <c r="A146" s="4">
        <v>5</v>
      </c>
      <c r="B146" s="5">
        <v>8</v>
      </c>
      <c r="C146" s="6">
        <v>39870</v>
      </c>
      <c r="D146" s="7">
        <v>1255</v>
      </c>
      <c r="E146" s="8">
        <f>VLOOKUP(B146,T.productos!$A$1:$E$15,4,0)</f>
        <v>3.63</v>
      </c>
      <c r="F146" s="8">
        <f>VLOOKUP(B146,T.productos!$A$1:$E$15,5,0)</f>
        <v>3.35</v>
      </c>
      <c r="G146" s="9">
        <f t="shared" si="2"/>
        <v>7.7134986225895319E-2</v>
      </c>
    </row>
    <row r="147" spans="1:7" x14ac:dyDescent="0.25">
      <c r="A147" s="4">
        <v>2</v>
      </c>
      <c r="B147" s="5">
        <v>9</v>
      </c>
      <c r="C147" s="6">
        <v>39629</v>
      </c>
      <c r="D147" s="7">
        <v>1641</v>
      </c>
      <c r="E147" s="8">
        <f>VLOOKUP(B147,T.productos!$A$1:$E$15,4,0)</f>
        <v>1.21</v>
      </c>
      <c r="F147" s="8">
        <f>VLOOKUP(B147,T.productos!$A$1:$E$15,5,0)</f>
        <v>0.36</v>
      </c>
      <c r="G147" s="9">
        <f t="shared" si="2"/>
        <v>0.7024793388429752</v>
      </c>
    </row>
    <row r="148" spans="1:7" x14ac:dyDescent="0.25">
      <c r="A148" s="4">
        <v>5</v>
      </c>
      <c r="B148" s="5">
        <v>6</v>
      </c>
      <c r="C148" s="6">
        <v>38288</v>
      </c>
      <c r="D148" s="7">
        <v>2471</v>
      </c>
      <c r="E148" s="8">
        <f>VLOOKUP(B148,T.productos!$A$1:$E$15,4,0)</f>
        <v>2.42</v>
      </c>
      <c r="F148" s="8">
        <f>VLOOKUP(B148,T.productos!$A$1:$E$15,5,0)</f>
        <v>2.2799999999999998</v>
      </c>
      <c r="G148" s="9">
        <f t="shared" si="2"/>
        <v>5.7851239669421489E-2</v>
      </c>
    </row>
    <row r="149" spans="1:7" x14ac:dyDescent="0.25">
      <c r="A149" s="4">
        <v>2</v>
      </c>
      <c r="B149" s="5">
        <v>12</v>
      </c>
      <c r="C149" s="6">
        <v>38995</v>
      </c>
      <c r="D149" s="7">
        <v>1562</v>
      </c>
      <c r="E149" s="8">
        <f>VLOOKUP(B149,T.productos!$A$1:$E$15,4,0)</f>
        <v>2.42</v>
      </c>
      <c r="F149" s="8">
        <f>VLOOKUP(B149,T.productos!$A$1:$E$15,5,0)</f>
        <v>1.68</v>
      </c>
      <c r="G149" s="9">
        <f t="shared" si="2"/>
        <v>0.30578512396694213</v>
      </c>
    </row>
    <row r="150" spans="1:7" x14ac:dyDescent="0.25">
      <c r="A150" s="4">
        <v>2</v>
      </c>
      <c r="B150" s="5">
        <v>2</v>
      </c>
      <c r="C150" s="6">
        <v>39182</v>
      </c>
      <c r="D150" s="7">
        <v>307</v>
      </c>
      <c r="E150" s="8">
        <f>VLOOKUP(B150,T.productos!$A$1:$E$15,4,0)</f>
        <v>1.63</v>
      </c>
      <c r="F150" s="8">
        <f>VLOOKUP(B150,T.productos!$A$1:$E$15,5,0)</f>
        <v>1.42</v>
      </c>
      <c r="G150" s="9">
        <f t="shared" si="2"/>
        <v>0.12883435582822086</v>
      </c>
    </row>
    <row r="151" spans="1:7" x14ac:dyDescent="0.25">
      <c r="A151" s="4">
        <v>5</v>
      </c>
      <c r="B151" s="5">
        <v>6</v>
      </c>
      <c r="C151" s="6">
        <v>38714</v>
      </c>
      <c r="D151" s="7">
        <v>444</v>
      </c>
      <c r="E151" s="8">
        <f>VLOOKUP(B151,T.productos!$A$1:$E$15,4,0)</f>
        <v>2.42</v>
      </c>
      <c r="F151" s="8">
        <f>VLOOKUP(B151,T.productos!$A$1:$E$15,5,0)</f>
        <v>2.2799999999999998</v>
      </c>
      <c r="G151" s="9">
        <f t="shared" si="2"/>
        <v>5.7851239669421489E-2</v>
      </c>
    </row>
    <row r="152" spans="1:7" x14ac:dyDescent="0.25">
      <c r="A152" s="4">
        <v>1</v>
      </c>
      <c r="B152" s="5">
        <v>10</v>
      </c>
      <c r="C152" s="6">
        <v>38746</v>
      </c>
      <c r="D152" s="7">
        <v>2760</v>
      </c>
      <c r="E152" s="8">
        <f>VLOOKUP(B152,T.productos!$A$1:$E$15,4,0)</f>
        <v>0.61</v>
      </c>
      <c r="F152" s="8">
        <f>VLOOKUP(B152,T.productos!$A$1:$E$15,5,0)</f>
        <v>0.4</v>
      </c>
      <c r="G152" s="9">
        <f t="shared" si="2"/>
        <v>0.34426229508196721</v>
      </c>
    </row>
    <row r="153" spans="1:7" x14ac:dyDescent="0.25">
      <c r="A153" s="4">
        <v>1</v>
      </c>
      <c r="B153" s="5">
        <v>14</v>
      </c>
      <c r="C153" s="6">
        <v>38393</v>
      </c>
      <c r="D153" s="7">
        <v>1450</v>
      </c>
      <c r="E153" s="8">
        <f>VLOOKUP(B153,T.productos!$A$1:$E$15,4,0)</f>
        <v>3.63</v>
      </c>
      <c r="F153" s="8">
        <f>VLOOKUP(B153,T.productos!$A$1:$E$15,5,0)</f>
        <v>3.2</v>
      </c>
      <c r="G153" s="9">
        <f t="shared" si="2"/>
        <v>0.1184573002754821</v>
      </c>
    </row>
    <row r="154" spans="1:7" x14ac:dyDescent="0.25">
      <c r="A154" s="4">
        <v>1</v>
      </c>
      <c r="B154" s="5">
        <v>5</v>
      </c>
      <c r="C154" s="6">
        <v>39748</v>
      </c>
      <c r="D154" s="7">
        <v>917</v>
      </c>
      <c r="E154" s="8">
        <f>VLOOKUP(B154,T.productos!$A$1:$E$15,4,0)</f>
        <v>2.54</v>
      </c>
      <c r="F154" s="8">
        <f>VLOOKUP(B154,T.productos!$A$1:$E$15,5,0)</f>
        <v>2.2799999999999998</v>
      </c>
      <c r="G154" s="9">
        <f t="shared" si="2"/>
        <v>0.10236220472440945</v>
      </c>
    </row>
    <row r="155" spans="1:7" x14ac:dyDescent="0.25">
      <c r="A155" s="4">
        <v>5</v>
      </c>
      <c r="B155" s="5">
        <v>10</v>
      </c>
      <c r="C155" s="6">
        <v>39546</v>
      </c>
      <c r="D155" s="7">
        <v>1189</v>
      </c>
      <c r="E155" s="8">
        <f>VLOOKUP(B155,T.productos!$A$1:$E$15,4,0)</f>
        <v>0.61</v>
      </c>
      <c r="F155" s="8">
        <f>VLOOKUP(B155,T.productos!$A$1:$E$15,5,0)</f>
        <v>0.4</v>
      </c>
      <c r="G155" s="9">
        <f t="shared" si="2"/>
        <v>0.34426229508196721</v>
      </c>
    </row>
    <row r="156" spans="1:7" x14ac:dyDescent="0.25">
      <c r="A156" s="4">
        <v>1</v>
      </c>
      <c r="B156" s="5">
        <v>4</v>
      </c>
      <c r="C156" s="6">
        <v>38073</v>
      </c>
      <c r="D156" s="7">
        <v>1455</v>
      </c>
      <c r="E156" s="8">
        <f>VLOOKUP(B156,T.productos!$A$1:$E$15,4,0)</f>
        <v>0.61</v>
      </c>
      <c r="F156" s="8">
        <f>VLOOKUP(B156,T.productos!$A$1:$E$15,5,0)</f>
        <v>0.28999999999999998</v>
      </c>
      <c r="G156" s="9">
        <f t="shared" si="2"/>
        <v>0.52459016393442626</v>
      </c>
    </row>
    <row r="157" spans="1:7" x14ac:dyDescent="0.25">
      <c r="A157" s="4">
        <v>3</v>
      </c>
      <c r="B157" s="5">
        <v>10</v>
      </c>
      <c r="C157" s="6">
        <v>39799</v>
      </c>
      <c r="D157" s="7">
        <v>2589</v>
      </c>
      <c r="E157" s="8">
        <f>VLOOKUP(B157,T.productos!$A$1:$E$15,4,0)</f>
        <v>0.61</v>
      </c>
      <c r="F157" s="8">
        <f>VLOOKUP(B157,T.productos!$A$1:$E$15,5,0)</f>
        <v>0.4</v>
      </c>
      <c r="G157" s="9">
        <f t="shared" si="2"/>
        <v>0.34426229508196721</v>
      </c>
    </row>
    <row r="158" spans="1:7" x14ac:dyDescent="0.25">
      <c r="A158" s="4">
        <v>3</v>
      </c>
      <c r="B158" s="5">
        <v>1</v>
      </c>
      <c r="C158" s="6">
        <v>39665</v>
      </c>
      <c r="D158" s="7">
        <v>1692</v>
      </c>
      <c r="E158" s="8">
        <f>VLOOKUP(B158,T.productos!$A$1:$E$15,4,0)</f>
        <v>3.93</v>
      </c>
      <c r="F158" s="8">
        <f>VLOOKUP(B158,T.productos!$A$1:$E$15,5,0)</f>
        <v>3.4</v>
      </c>
      <c r="G158" s="9">
        <f t="shared" si="2"/>
        <v>0.13486005089058525</v>
      </c>
    </row>
    <row r="159" spans="1:7" x14ac:dyDescent="0.25">
      <c r="A159" s="4">
        <v>4</v>
      </c>
      <c r="B159" s="5">
        <v>7</v>
      </c>
      <c r="C159" s="6">
        <v>39152</v>
      </c>
      <c r="D159" s="7">
        <v>1781</v>
      </c>
      <c r="E159" s="8">
        <f>VLOOKUP(B159,T.productos!$A$1:$E$15,4,0)</f>
        <v>0.97</v>
      </c>
      <c r="F159" s="8">
        <f>VLOOKUP(B159,T.productos!$A$1:$E$15,5,0)</f>
        <v>0.19</v>
      </c>
      <c r="G159" s="9">
        <f t="shared" si="2"/>
        <v>0.80412371134020622</v>
      </c>
    </row>
    <row r="160" spans="1:7" x14ac:dyDescent="0.25">
      <c r="A160" s="4">
        <v>3</v>
      </c>
      <c r="B160" s="5">
        <v>13</v>
      </c>
      <c r="C160" s="6">
        <v>38249</v>
      </c>
      <c r="D160" s="7">
        <v>1231</v>
      </c>
      <c r="E160" s="8">
        <f>VLOOKUP(B160,T.productos!$A$1:$E$15,4,0)</f>
        <v>0.24</v>
      </c>
      <c r="F160" s="8">
        <f>VLOOKUP(B160,T.productos!$A$1:$E$15,5,0)</f>
        <v>0.12</v>
      </c>
      <c r="G160" s="9">
        <f t="shared" si="2"/>
        <v>0.5</v>
      </c>
    </row>
    <row r="161" spans="1:7" x14ac:dyDescent="0.25">
      <c r="A161" s="4">
        <v>3</v>
      </c>
      <c r="B161" s="5">
        <v>6</v>
      </c>
      <c r="C161" s="6">
        <v>39220</v>
      </c>
      <c r="D161" s="7">
        <v>1370</v>
      </c>
      <c r="E161" s="8">
        <f>VLOOKUP(B161,T.productos!$A$1:$E$15,4,0)</f>
        <v>2.42</v>
      </c>
      <c r="F161" s="8">
        <f>VLOOKUP(B161,T.productos!$A$1:$E$15,5,0)</f>
        <v>2.2799999999999998</v>
      </c>
      <c r="G161" s="9">
        <f t="shared" si="2"/>
        <v>5.7851239669421489E-2</v>
      </c>
    </row>
    <row r="162" spans="1:7" x14ac:dyDescent="0.25">
      <c r="A162" s="4">
        <v>4</v>
      </c>
      <c r="B162" s="5">
        <v>11</v>
      </c>
      <c r="C162" s="6">
        <v>38554</v>
      </c>
      <c r="D162" s="7">
        <v>1308</v>
      </c>
      <c r="E162" s="8">
        <f>VLOOKUP(B162,T.productos!$A$1:$E$15,4,0)</f>
        <v>1.21</v>
      </c>
      <c r="F162" s="8">
        <f>VLOOKUP(B162,T.productos!$A$1:$E$15,5,0)</f>
        <v>0.72</v>
      </c>
      <c r="G162" s="9">
        <f t="shared" si="2"/>
        <v>0.4049586776859504</v>
      </c>
    </row>
    <row r="163" spans="1:7" x14ac:dyDescent="0.25">
      <c r="A163" s="4">
        <v>5</v>
      </c>
      <c r="B163" s="5">
        <v>3</v>
      </c>
      <c r="C163" s="6">
        <v>39596</v>
      </c>
      <c r="D163" s="7">
        <v>2781</v>
      </c>
      <c r="E163" s="8">
        <f>VLOOKUP(B163,T.productos!$A$1:$E$15,4,0)</f>
        <v>1.94</v>
      </c>
      <c r="F163" s="8">
        <f>VLOOKUP(B163,T.productos!$A$1:$E$15,5,0)</f>
        <v>1.89</v>
      </c>
      <c r="G163" s="9">
        <f t="shared" si="2"/>
        <v>2.5773195876288658E-2</v>
      </c>
    </row>
    <row r="164" spans="1:7" x14ac:dyDescent="0.25">
      <c r="A164" s="4">
        <v>3</v>
      </c>
      <c r="B164" s="5">
        <v>7</v>
      </c>
      <c r="C164" s="6">
        <v>38502</v>
      </c>
      <c r="D164" s="7">
        <v>2960</v>
      </c>
      <c r="E164" s="8">
        <f>VLOOKUP(B164,T.productos!$A$1:$E$15,4,0)</f>
        <v>0.97</v>
      </c>
      <c r="F164" s="8">
        <f>VLOOKUP(B164,T.productos!$A$1:$E$15,5,0)</f>
        <v>0.19</v>
      </c>
      <c r="G164" s="9">
        <f t="shared" si="2"/>
        <v>0.80412371134020622</v>
      </c>
    </row>
    <row r="165" spans="1:7" x14ac:dyDescent="0.25">
      <c r="A165" s="4">
        <v>4</v>
      </c>
      <c r="B165" s="5">
        <v>5</v>
      </c>
      <c r="C165" s="6">
        <v>38461</v>
      </c>
      <c r="D165" s="7">
        <v>1808</v>
      </c>
      <c r="E165" s="8">
        <f>VLOOKUP(B165,T.productos!$A$1:$E$15,4,0)</f>
        <v>2.54</v>
      </c>
      <c r="F165" s="8">
        <f>VLOOKUP(B165,T.productos!$A$1:$E$15,5,0)</f>
        <v>2.2799999999999998</v>
      </c>
      <c r="G165" s="9">
        <f t="shared" si="2"/>
        <v>0.10236220472440945</v>
      </c>
    </row>
    <row r="166" spans="1:7" x14ac:dyDescent="0.25">
      <c r="A166" s="4">
        <v>3</v>
      </c>
      <c r="B166" s="5">
        <v>14</v>
      </c>
      <c r="C166" s="6">
        <v>38632</v>
      </c>
      <c r="D166" s="7">
        <v>662</v>
      </c>
      <c r="E166" s="8">
        <f>VLOOKUP(B166,T.productos!$A$1:$E$15,4,0)</f>
        <v>3.63</v>
      </c>
      <c r="F166" s="8">
        <f>VLOOKUP(B166,T.productos!$A$1:$E$15,5,0)</f>
        <v>3.2</v>
      </c>
      <c r="G166" s="9">
        <f t="shared" si="2"/>
        <v>0.1184573002754821</v>
      </c>
    </row>
    <row r="167" spans="1:7" x14ac:dyDescent="0.25">
      <c r="A167" s="4">
        <v>2</v>
      </c>
      <c r="B167" s="5">
        <v>2</v>
      </c>
      <c r="C167" s="6">
        <v>39559</v>
      </c>
      <c r="D167" s="7">
        <v>343</v>
      </c>
      <c r="E167" s="8">
        <f>VLOOKUP(B167,T.productos!$A$1:$E$15,4,0)</f>
        <v>1.63</v>
      </c>
      <c r="F167" s="8">
        <f>VLOOKUP(B167,T.productos!$A$1:$E$15,5,0)</f>
        <v>1.42</v>
      </c>
      <c r="G167" s="9">
        <f t="shared" si="2"/>
        <v>0.12883435582822086</v>
      </c>
    </row>
    <row r="168" spans="1:7" x14ac:dyDescent="0.25">
      <c r="A168" s="4">
        <v>5</v>
      </c>
      <c r="B168" s="5">
        <v>1</v>
      </c>
      <c r="C168" s="6">
        <v>39680</v>
      </c>
      <c r="D168" s="7">
        <v>733</v>
      </c>
      <c r="E168" s="8">
        <f>VLOOKUP(B168,T.productos!$A$1:$E$15,4,0)</f>
        <v>3.93</v>
      </c>
      <c r="F168" s="8">
        <f>VLOOKUP(B168,T.productos!$A$1:$E$15,5,0)</f>
        <v>3.4</v>
      </c>
      <c r="G168" s="9">
        <f t="shared" si="2"/>
        <v>0.13486005089058525</v>
      </c>
    </row>
    <row r="169" spans="1:7" x14ac:dyDescent="0.25">
      <c r="A169" s="4">
        <v>3</v>
      </c>
      <c r="B169" s="5">
        <v>3</v>
      </c>
      <c r="C169" s="6">
        <v>39516</v>
      </c>
      <c r="D169" s="7">
        <v>2053</v>
      </c>
      <c r="E169" s="8">
        <f>VLOOKUP(B169,T.productos!$A$1:$E$15,4,0)</f>
        <v>1.94</v>
      </c>
      <c r="F169" s="8">
        <f>VLOOKUP(B169,T.productos!$A$1:$E$15,5,0)</f>
        <v>1.89</v>
      </c>
      <c r="G169" s="9">
        <f t="shared" si="2"/>
        <v>2.5773195876288658E-2</v>
      </c>
    </row>
    <row r="170" spans="1:7" x14ac:dyDescent="0.25">
      <c r="A170" s="4">
        <v>3</v>
      </c>
      <c r="B170" s="5">
        <v>13</v>
      </c>
      <c r="C170" s="6">
        <v>39004</v>
      </c>
      <c r="D170" s="7">
        <v>1230</v>
      </c>
      <c r="E170" s="8">
        <f>VLOOKUP(B170,T.productos!$A$1:$E$15,4,0)</f>
        <v>0.24</v>
      </c>
      <c r="F170" s="8">
        <f>VLOOKUP(B170,T.productos!$A$1:$E$15,5,0)</f>
        <v>0.12</v>
      </c>
      <c r="G170" s="9">
        <f t="shared" si="2"/>
        <v>0.5</v>
      </c>
    </row>
    <row r="171" spans="1:7" x14ac:dyDescent="0.25">
      <c r="A171" s="4">
        <v>5</v>
      </c>
      <c r="B171" s="5">
        <v>4</v>
      </c>
      <c r="C171" s="6">
        <v>38470</v>
      </c>
      <c r="D171" s="7">
        <v>1791</v>
      </c>
      <c r="E171" s="8">
        <f>VLOOKUP(B171,T.productos!$A$1:$E$15,4,0)</f>
        <v>0.61</v>
      </c>
      <c r="F171" s="8">
        <f>VLOOKUP(B171,T.productos!$A$1:$E$15,5,0)</f>
        <v>0.28999999999999998</v>
      </c>
      <c r="G171" s="9">
        <f t="shared" si="2"/>
        <v>0.52459016393442626</v>
      </c>
    </row>
    <row r="172" spans="1:7" x14ac:dyDescent="0.25">
      <c r="A172" s="4">
        <v>3</v>
      </c>
      <c r="B172" s="5">
        <v>13</v>
      </c>
      <c r="C172" s="6">
        <v>39346</v>
      </c>
      <c r="D172" s="7">
        <v>2593</v>
      </c>
      <c r="E172" s="8">
        <f>VLOOKUP(B172,T.productos!$A$1:$E$15,4,0)</f>
        <v>0.24</v>
      </c>
      <c r="F172" s="8">
        <f>VLOOKUP(B172,T.productos!$A$1:$E$15,5,0)</f>
        <v>0.12</v>
      </c>
      <c r="G172" s="9">
        <f t="shared" si="2"/>
        <v>0.5</v>
      </c>
    </row>
    <row r="173" spans="1:7" x14ac:dyDescent="0.25">
      <c r="A173" s="4">
        <v>3</v>
      </c>
      <c r="B173" s="5">
        <v>10</v>
      </c>
      <c r="C173" s="6">
        <v>38550</v>
      </c>
      <c r="D173" s="7">
        <v>2296</v>
      </c>
      <c r="E173" s="8">
        <f>VLOOKUP(B173,T.productos!$A$1:$E$15,4,0)</f>
        <v>0.61</v>
      </c>
      <c r="F173" s="8">
        <f>VLOOKUP(B173,T.productos!$A$1:$E$15,5,0)</f>
        <v>0.4</v>
      </c>
      <c r="G173" s="9">
        <f t="shared" si="2"/>
        <v>0.34426229508196721</v>
      </c>
    </row>
    <row r="174" spans="1:7" x14ac:dyDescent="0.25">
      <c r="A174" s="4">
        <v>4</v>
      </c>
      <c r="B174" s="5">
        <v>14</v>
      </c>
      <c r="C174" s="6">
        <v>38416</v>
      </c>
      <c r="D174" s="7">
        <v>2387</v>
      </c>
      <c r="E174" s="8">
        <f>VLOOKUP(B174,T.productos!$A$1:$E$15,4,0)</f>
        <v>3.63</v>
      </c>
      <c r="F174" s="8">
        <f>VLOOKUP(B174,T.productos!$A$1:$E$15,5,0)</f>
        <v>3.2</v>
      </c>
      <c r="G174" s="9">
        <f t="shared" si="2"/>
        <v>0.1184573002754821</v>
      </c>
    </row>
    <row r="175" spans="1:7" x14ac:dyDescent="0.25">
      <c r="A175" s="4">
        <v>5</v>
      </c>
      <c r="B175" s="5">
        <v>11</v>
      </c>
      <c r="C175" s="6">
        <v>39277</v>
      </c>
      <c r="D175" s="7">
        <v>2464</v>
      </c>
      <c r="E175" s="8">
        <f>VLOOKUP(B175,T.productos!$A$1:$E$15,4,0)</f>
        <v>1.21</v>
      </c>
      <c r="F175" s="8">
        <f>VLOOKUP(B175,T.productos!$A$1:$E$15,5,0)</f>
        <v>0.72</v>
      </c>
      <c r="G175" s="9">
        <f t="shared" si="2"/>
        <v>0.4049586776859504</v>
      </c>
    </row>
    <row r="176" spans="1:7" x14ac:dyDescent="0.25">
      <c r="A176" s="4">
        <v>3</v>
      </c>
      <c r="B176" s="5">
        <v>2</v>
      </c>
      <c r="C176" s="6">
        <v>39276</v>
      </c>
      <c r="D176" s="7">
        <v>1326</v>
      </c>
      <c r="E176" s="8">
        <f>VLOOKUP(B176,T.productos!$A$1:$E$15,4,0)</f>
        <v>1.63</v>
      </c>
      <c r="F176" s="8">
        <f>VLOOKUP(B176,T.productos!$A$1:$E$15,5,0)</f>
        <v>1.42</v>
      </c>
      <c r="G176" s="9">
        <f t="shared" si="2"/>
        <v>0.12883435582822086</v>
      </c>
    </row>
    <row r="177" spans="1:7" x14ac:dyDescent="0.25">
      <c r="A177" s="4">
        <v>2</v>
      </c>
      <c r="B177" s="5">
        <v>14</v>
      </c>
      <c r="C177" s="6">
        <v>39140</v>
      </c>
      <c r="D177" s="7">
        <v>2565</v>
      </c>
      <c r="E177" s="8">
        <f>VLOOKUP(B177,T.productos!$A$1:$E$15,4,0)</f>
        <v>3.63</v>
      </c>
      <c r="F177" s="8">
        <f>VLOOKUP(B177,T.productos!$A$1:$E$15,5,0)</f>
        <v>3.2</v>
      </c>
      <c r="G177" s="9">
        <f t="shared" si="2"/>
        <v>0.1184573002754821</v>
      </c>
    </row>
    <row r="178" spans="1:7" x14ac:dyDescent="0.25">
      <c r="A178" s="4">
        <v>1</v>
      </c>
      <c r="B178" s="5">
        <v>11</v>
      </c>
      <c r="C178" s="6">
        <v>39715</v>
      </c>
      <c r="D178" s="7">
        <v>2416</v>
      </c>
      <c r="E178" s="8">
        <f>VLOOKUP(B178,T.productos!$A$1:$E$15,4,0)</f>
        <v>1.21</v>
      </c>
      <c r="F178" s="8">
        <f>VLOOKUP(B178,T.productos!$A$1:$E$15,5,0)</f>
        <v>0.72</v>
      </c>
      <c r="G178" s="9">
        <f t="shared" si="2"/>
        <v>0.4049586776859504</v>
      </c>
    </row>
    <row r="179" spans="1:7" x14ac:dyDescent="0.25">
      <c r="A179" s="4">
        <v>5</v>
      </c>
      <c r="B179" s="5">
        <v>6</v>
      </c>
      <c r="C179" s="6">
        <v>38583</v>
      </c>
      <c r="D179" s="7">
        <v>2086</v>
      </c>
      <c r="E179" s="8">
        <f>VLOOKUP(B179,T.productos!$A$1:$E$15,4,0)</f>
        <v>2.42</v>
      </c>
      <c r="F179" s="8">
        <f>VLOOKUP(B179,T.productos!$A$1:$E$15,5,0)</f>
        <v>2.2799999999999998</v>
      </c>
      <c r="G179" s="9">
        <f t="shared" si="2"/>
        <v>5.7851239669421489E-2</v>
      </c>
    </row>
    <row r="180" spans="1:7" x14ac:dyDescent="0.25">
      <c r="A180" s="4">
        <v>5</v>
      </c>
      <c r="B180" s="5">
        <v>13</v>
      </c>
      <c r="C180" s="6">
        <v>39711</v>
      </c>
      <c r="D180" s="7">
        <v>312</v>
      </c>
      <c r="E180" s="8">
        <f>VLOOKUP(B180,T.productos!$A$1:$E$15,4,0)</f>
        <v>0.24</v>
      </c>
      <c r="F180" s="8">
        <f>VLOOKUP(B180,T.productos!$A$1:$E$15,5,0)</f>
        <v>0.12</v>
      </c>
      <c r="G180" s="9">
        <f t="shared" si="2"/>
        <v>0.5</v>
      </c>
    </row>
    <row r="181" spans="1:7" x14ac:dyDescent="0.25">
      <c r="A181" s="4">
        <v>4</v>
      </c>
      <c r="B181" s="5">
        <v>6</v>
      </c>
      <c r="C181" s="6">
        <v>38656</v>
      </c>
      <c r="D181" s="7">
        <v>1774</v>
      </c>
      <c r="E181" s="8">
        <f>VLOOKUP(B181,T.productos!$A$1:$E$15,4,0)</f>
        <v>2.42</v>
      </c>
      <c r="F181" s="8">
        <f>VLOOKUP(B181,T.productos!$A$1:$E$15,5,0)</f>
        <v>2.2799999999999998</v>
      </c>
      <c r="G181" s="9">
        <f t="shared" si="2"/>
        <v>5.7851239669421489E-2</v>
      </c>
    </row>
    <row r="182" spans="1:7" x14ac:dyDescent="0.25">
      <c r="A182" s="4">
        <v>3</v>
      </c>
      <c r="B182" s="5">
        <v>2</v>
      </c>
      <c r="C182" s="6">
        <v>38028</v>
      </c>
      <c r="D182" s="7">
        <v>2560</v>
      </c>
      <c r="E182" s="8">
        <f>VLOOKUP(B182,T.productos!$A$1:$E$15,4,0)</f>
        <v>1.63</v>
      </c>
      <c r="F182" s="8">
        <f>VLOOKUP(B182,T.productos!$A$1:$E$15,5,0)</f>
        <v>1.42</v>
      </c>
      <c r="G182" s="9">
        <f t="shared" si="2"/>
        <v>0.12883435582822086</v>
      </c>
    </row>
    <row r="183" spans="1:7" x14ac:dyDescent="0.25">
      <c r="A183" s="4">
        <v>3</v>
      </c>
      <c r="B183" s="5">
        <v>10</v>
      </c>
      <c r="C183" s="6">
        <v>38111</v>
      </c>
      <c r="D183" s="7">
        <v>2722</v>
      </c>
      <c r="E183" s="8">
        <f>VLOOKUP(B183,T.productos!$A$1:$E$15,4,0)</f>
        <v>0.61</v>
      </c>
      <c r="F183" s="8">
        <f>VLOOKUP(B183,T.productos!$A$1:$E$15,5,0)</f>
        <v>0.4</v>
      </c>
      <c r="G183" s="9">
        <f t="shared" si="2"/>
        <v>0.34426229508196721</v>
      </c>
    </row>
    <row r="184" spans="1:7" x14ac:dyDescent="0.25">
      <c r="A184" s="4">
        <v>2</v>
      </c>
      <c r="B184" s="5">
        <v>10</v>
      </c>
      <c r="C184" s="6">
        <v>38048</v>
      </c>
      <c r="D184" s="7">
        <v>835</v>
      </c>
      <c r="E184" s="8">
        <f>VLOOKUP(B184,T.productos!$A$1:$E$15,4,0)</f>
        <v>0.61</v>
      </c>
      <c r="F184" s="8">
        <f>VLOOKUP(B184,T.productos!$A$1:$E$15,5,0)</f>
        <v>0.4</v>
      </c>
      <c r="G184" s="9">
        <f t="shared" si="2"/>
        <v>0.34426229508196721</v>
      </c>
    </row>
    <row r="185" spans="1:7" x14ac:dyDescent="0.25">
      <c r="A185" s="4">
        <v>4</v>
      </c>
      <c r="B185" s="5">
        <v>2</v>
      </c>
      <c r="C185" s="6">
        <v>38306</v>
      </c>
      <c r="D185" s="7">
        <v>758</v>
      </c>
      <c r="E185" s="8">
        <f>VLOOKUP(B185,T.productos!$A$1:$E$15,4,0)</f>
        <v>1.63</v>
      </c>
      <c r="F185" s="8">
        <f>VLOOKUP(B185,T.productos!$A$1:$E$15,5,0)</f>
        <v>1.42</v>
      </c>
      <c r="G185" s="9">
        <f t="shared" si="2"/>
        <v>0.12883435582822086</v>
      </c>
    </row>
    <row r="186" spans="1:7" x14ac:dyDescent="0.25">
      <c r="A186" s="4">
        <v>1</v>
      </c>
      <c r="B186" s="5">
        <v>4</v>
      </c>
      <c r="C186" s="6">
        <v>39876</v>
      </c>
      <c r="D186" s="7">
        <v>1270</v>
      </c>
      <c r="E186" s="8">
        <f>VLOOKUP(B186,T.productos!$A$1:$E$15,4,0)</f>
        <v>0.61</v>
      </c>
      <c r="F186" s="8">
        <f>VLOOKUP(B186,T.productos!$A$1:$E$15,5,0)</f>
        <v>0.28999999999999998</v>
      </c>
      <c r="G186" s="9">
        <f t="shared" si="2"/>
        <v>0.52459016393442626</v>
      </c>
    </row>
    <row r="187" spans="1:7" x14ac:dyDescent="0.25">
      <c r="A187" s="4">
        <v>5</v>
      </c>
      <c r="B187" s="5">
        <v>12</v>
      </c>
      <c r="C187" s="6">
        <v>38972</v>
      </c>
      <c r="D187" s="7">
        <v>1797</v>
      </c>
      <c r="E187" s="8">
        <f>VLOOKUP(B187,T.productos!$A$1:$E$15,4,0)</f>
        <v>2.42</v>
      </c>
      <c r="F187" s="8">
        <f>VLOOKUP(B187,T.productos!$A$1:$E$15,5,0)</f>
        <v>1.68</v>
      </c>
      <c r="G187" s="9">
        <f t="shared" si="2"/>
        <v>0.30578512396694213</v>
      </c>
    </row>
    <row r="188" spans="1:7" x14ac:dyDescent="0.25">
      <c r="A188" s="4">
        <v>2</v>
      </c>
      <c r="B188" s="5">
        <v>11</v>
      </c>
      <c r="C188" s="6">
        <v>38823</v>
      </c>
      <c r="D188" s="7">
        <v>1311</v>
      </c>
      <c r="E188" s="8">
        <f>VLOOKUP(B188,T.productos!$A$1:$E$15,4,0)</f>
        <v>1.21</v>
      </c>
      <c r="F188" s="8">
        <f>VLOOKUP(B188,T.productos!$A$1:$E$15,5,0)</f>
        <v>0.72</v>
      </c>
      <c r="G188" s="9">
        <f t="shared" si="2"/>
        <v>0.4049586776859504</v>
      </c>
    </row>
    <row r="189" spans="1:7" x14ac:dyDescent="0.25">
      <c r="A189" s="4">
        <v>4</v>
      </c>
      <c r="B189" s="5">
        <v>14</v>
      </c>
      <c r="C189" s="6">
        <v>39957</v>
      </c>
      <c r="D189" s="7">
        <v>2608</v>
      </c>
      <c r="E189" s="8">
        <f>VLOOKUP(B189,T.productos!$A$1:$E$15,4,0)</f>
        <v>3.63</v>
      </c>
      <c r="F189" s="8">
        <f>VLOOKUP(B189,T.productos!$A$1:$E$15,5,0)</f>
        <v>3.2</v>
      </c>
      <c r="G189" s="9">
        <f t="shared" si="2"/>
        <v>0.1184573002754821</v>
      </c>
    </row>
    <row r="190" spans="1:7" x14ac:dyDescent="0.25">
      <c r="A190" s="4">
        <v>4</v>
      </c>
      <c r="B190" s="5">
        <v>13</v>
      </c>
      <c r="C190" s="6">
        <v>38176</v>
      </c>
      <c r="D190" s="7">
        <v>2117</v>
      </c>
      <c r="E190" s="8">
        <f>VLOOKUP(B190,T.productos!$A$1:$E$15,4,0)</f>
        <v>0.24</v>
      </c>
      <c r="F190" s="8">
        <f>VLOOKUP(B190,T.productos!$A$1:$E$15,5,0)</f>
        <v>0.12</v>
      </c>
      <c r="G190" s="9">
        <f t="shared" si="2"/>
        <v>0.5</v>
      </c>
    </row>
    <row r="191" spans="1:7" x14ac:dyDescent="0.25">
      <c r="A191" s="4">
        <v>5</v>
      </c>
      <c r="B191" s="5">
        <v>5</v>
      </c>
      <c r="C191" s="6">
        <v>39203</v>
      </c>
      <c r="D191" s="7">
        <v>618</v>
      </c>
      <c r="E191" s="8">
        <f>VLOOKUP(B191,T.productos!$A$1:$E$15,4,0)</f>
        <v>2.54</v>
      </c>
      <c r="F191" s="8">
        <f>VLOOKUP(B191,T.productos!$A$1:$E$15,5,0)</f>
        <v>2.2799999999999998</v>
      </c>
      <c r="G191" s="9">
        <f t="shared" si="2"/>
        <v>0.10236220472440945</v>
      </c>
    </row>
    <row r="192" spans="1:7" x14ac:dyDescent="0.25">
      <c r="A192" s="4">
        <v>5</v>
      </c>
      <c r="B192" s="5">
        <v>2</v>
      </c>
      <c r="C192" s="6">
        <v>38829</v>
      </c>
      <c r="D192" s="7">
        <v>2713</v>
      </c>
      <c r="E192" s="8">
        <f>VLOOKUP(B192,T.productos!$A$1:$E$15,4,0)</f>
        <v>1.63</v>
      </c>
      <c r="F192" s="8">
        <f>VLOOKUP(B192,T.productos!$A$1:$E$15,5,0)</f>
        <v>1.42</v>
      </c>
      <c r="G192" s="9">
        <f t="shared" si="2"/>
        <v>0.12883435582822086</v>
      </c>
    </row>
    <row r="193" spans="1:7" x14ac:dyDescent="0.25">
      <c r="A193" s="4">
        <v>5</v>
      </c>
      <c r="B193" s="5">
        <v>3</v>
      </c>
      <c r="C193" s="6">
        <v>38761</v>
      </c>
      <c r="D193" s="7">
        <v>1704</v>
      </c>
      <c r="E193" s="8">
        <f>VLOOKUP(B193,T.productos!$A$1:$E$15,4,0)</f>
        <v>1.94</v>
      </c>
      <c r="F193" s="8">
        <f>VLOOKUP(B193,T.productos!$A$1:$E$15,5,0)</f>
        <v>1.89</v>
      </c>
      <c r="G193" s="9">
        <f t="shared" si="2"/>
        <v>2.5773195876288658E-2</v>
      </c>
    </row>
    <row r="194" spans="1:7" x14ac:dyDescent="0.25">
      <c r="A194" s="4">
        <v>2</v>
      </c>
      <c r="B194" s="5">
        <v>5</v>
      </c>
      <c r="C194" s="6">
        <v>38828</v>
      </c>
      <c r="D194" s="7">
        <v>2218</v>
      </c>
      <c r="E194" s="8">
        <f>VLOOKUP(B194,T.productos!$A$1:$E$15,4,0)</f>
        <v>2.54</v>
      </c>
      <c r="F194" s="8">
        <f>VLOOKUP(B194,T.productos!$A$1:$E$15,5,0)</f>
        <v>2.2799999999999998</v>
      </c>
      <c r="G194" s="9">
        <f t="shared" ref="G194:G257" si="3">margen(D194,E194,F194)</f>
        <v>0.10236220472440945</v>
      </c>
    </row>
    <row r="195" spans="1:7" x14ac:dyDescent="0.25">
      <c r="A195" s="4">
        <v>3</v>
      </c>
      <c r="B195" s="5">
        <v>13</v>
      </c>
      <c r="C195" s="6">
        <v>38026</v>
      </c>
      <c r="D195" s="7">
        <v>1998</v>
      </c>
      <c r="E195" s="8">
        <f>VLOOKUP(B195,T.productos!$A$1:$E$15,4,0)</f>
        <v>0.24</v>
      </c>
      <c r="F195" s="8">
        <f>VLOOKUP(B195,T.productos!$A$1:$E$15,5,0)</f>
        <v>0.12</v>
      </c>
      <c r="G195" s="9">
        <f t="shared" si="3"/>
        <v>0.5</v>
      </c>
    </row>
    <row r="196" spans="1:7" x14ac:dyDescent="0.25">
      <c r="A196" s="4">
        <v>2</v>
      </c>
      <c r="B196" s="5">
        <v>4</v>
      </c>
      <c r="C196" s="6">
        <v>39238</v>
      </c>
      <c r="D196" s="7">
        <v>1049</v>
      </c>
      <c r="E196" s="8">
        <f>VLOOKUP(B196,T.productos!$A$1:$E$15,4,0)</f>
        <v>0.61</v>
      </c>
      <c r="F196" s="8">
        <f>VLOOKUP(B196,T.productos!$A$1:$E$15,5,0)</f>
        <v>0.28999999999999998</v>
      </c>
      <c r="G196" s="9">
        <f t="shared" si="3"/>
        <v>0.52459016393442626</v>
      </c>
    </row>
    <row r="197" spans="1:7" x14ac:dyDescent="0.25">
      <c r="A197" s="4">
        <v>4</v>
      </c>
      <c r="B197" s="5">
        <v>5</v>
      </c>
      <c r="C197" s="6">
        <v>38521</v>
      </c>
      <c r="D197" s="7">
        <v>1867</v>
      </c>
      <c r="E197" s="8">
        <f>VLOOKUP(B197,T.productos!$A$1:$E$15,4,0)</f>
        <v>2.54</v>
      </c>
      <c r="F197" s="8">
        <f>VLOOKUP(B197,T.productos!$A$1:$E$15,5,0)</f>
        <v>2.2799999999999998</v>
      </c>
      <c r="G197" s="9">
        <f t="shared" si="3"/>
        <v>0.10236220472440945</v>
      </c>
    </row>
    <row r="198" spans="1:7" x14ac:dyDescent="0.25">
      <c r="A198" s="4">
        <v>4</v>
      </c>
      <c r="B198" s="5">
        <v>12</v>
      </c>
      <c r="C198" s="6">
        <v>39014</v>
      </c>
      <c r="D198" s="7">
        <v>2639</v>
      </c>
      <c r="E198" s="8">
        <f>VLOOKUP(B198,T.productos!$A$1:$E$15,4,0)</f>
        <v>2.42</v>
      </c>
      <c r="F198" s="8">
        <f>VLOOKUP(B198,T.productos!$A$1:$E$15,5,0)</f>
        <v>1.68</v>
      </c>
      <c r="G198" s="9">
        <f t="shared" si="3"/>
        <v>0.30578512396694213</v>
      </c>
    </row>
    <row r="199" spans="1:7" x14ac:dyDescent="0.25">
      <c r="A199" s="4">
        <v>1</v>
      </c>
      <c r="B199" s="5">
        <v>3</v>
      </c>
      <c r="C199" s="6">
        <v>39592</v>
      </c>
      <c r="D199" s="7">
        <v>2763</v>
      </c>
      <c r="E199" s="8">
        <f>VLOOKUP(B199,T.productos!$A$1:$E$15,4,0)</f>
        <v>1.94</v>
      </c>
      <c r="F199" s="8">
        <f>VLOOKUP(B199,T.productos!$A$1:$E$15,5,0)</f>
        <v>1.89</v>
      </c>
      <c r="G199" s="9">
        <f t="shared" si="3"/>
        <v>2.5773195876288658E-2</v>
      </c>
    </row>
    <row r="200" spans="1:7" x14ac:dyDescent="0.25">
      <c r="A200" s="4">
        <v>5</v>
      </c>
      <c r="B200" s="5">
        <v>8</v>
      </c>
      <c r="C200" s="6">
        <v>38528</v>
      </c>
      <c r="D200" s="7">
        <v>570</v>
      </c>
      <c r="E200" s="8">
        <f>VLOOKUP(B200,T.productos!$A$1:$E$15,4,0)</f>
        <v>3.63</v>
      </c>
      <c r="F200" s="8">
        <f>VLOOKUP(B200,T.productos!$A$1:$E$15,5,0)</f>
        <v>3.35</v>
      </c>
      <c r="G200" s="9">
        <f t="shared" si="3"/>
        <v>7.7134986225895319E-2</v>
      </c>
    </row>
    <row r="201" spans="1:7" x14ac:dyDescent="0.25">
      <c r="A201" s="4">
        <v>4</v>
      </c>
      <c r="B201" s="5">
        <v>2</v>
      </c>
      <c r="C201" s="6">
        <v>38549</v>
      </c>
      <c r="D201" s="7">
        <v>2608</v>
      </c>
      <c r="E201" s="8">
        <f>VLOOKUP(B201,T.productos!$A$1:$E$15,4,0)</f>
        <v>1.63</v>
      </c>
      <c r="F201" s="8">
        <f>VLOOKUP(B201,T.productos!$A$1:$E$15,5,0)</f>
        <v>1.42</v>
      </c>
      <c r="G201" s="9">
        <f t="shared" si="3"/>
        <v>0.12883435582822086</v>
      </c>
    </row>
    <row r="202" spans="1:7" x14ac:dyDescent="0.25">
      <c r="A202" s="4">
        <v>5</v>
      </c>
      <c r="B202" s="5">
        <v>5</v>
      </c>
      <c r="C202" s="6">
        <v>38580</v>
      </c>
      <c r="D202" s="7">
        <v>723</v>
      </c>
      <c r="E202" s="8">
        <f>VLOOKUP(B202,T.productos!$A$1:$E$15,4,0)</f>
        <v>2.54</v>
      </c>
      <c r="F202" s="8">
        <f>VLOOKUP(B202,T.productos!$A$1:$E$15,5,0)</f>
        <v>2.2799999999999998</v>
      </c>
      <c r="G202" s="9">
        <f t="shared" si="3"/>
        <v>0.10236220472440945</v>
      </c>
    </row>
    <row r="203" spans="1:7" x14ac:dyDescent="0.25">
      <c r="A203" s="4">
        <v>2</v>
      </c>
      <c r="B203" s="5">
        <v>10</v>
      </c>
      <c r="C203" s="6">
        <v>39969</v>
      </c>
      <c r="D203" s="7">
        <v>2033</v>
      </c>
      <c r="E203" s="8">
        <f>VLOOKUP(B203,T.productos!$A$1:$E$15,4,0)</f>
        <v>0.61</v>
      </c>
      <c r="F203" s="8">
        <f>VLOOKUP(B203,T.productos!$A$1:$E$15,5,0)</f>
        <v>0.4</v>
      </c>
      <c r="G203" s="9">
        <f t="shared" si="3"/>
        <v>0.34426229508196721</v>
      </c>
    </row>
    <row r="204" spans="1:7" x14ac:dyDescent="0.25">
      <c r="A204" s="4">
        <v>3</v>
      </c>
      <c r="B204" s="5">
        <v>6</v>
      </c>
      <c r="C204" s="6">
        <v>39889</v>
      </c>
      <c r="D204" s="7">
        <v>932</v>
      </c>
      <c r="E204" s="8">
        <f>VLOOKUP(B204,T.productos!$A$1:$E$15,4,0)</f>
        <v>2.42</v>
      </c>
      <c r="F204" s="8">
        <f>VLOOKUP(B204,T.productos!$A$1:$E$15,5,0)</f>
        <v>2.2799999999999998</v>
      </c>
      <c r="G204" s="9">
        <f t="shared" si="3"/>
        <v>5.7851239669421489E-2</v>
      </c>
    </row>
    <row r="205" spans="1:7" x14ac:dyDescent="0.25">
      <c r="A205" s="4">
        <v>1</v>
      </c>
      <c r="B205" s="5">
        <v>9</v>
      </c>
      <c r="C205" s="6">
        <v>38573</v>
      </c>
      <c r="D205" s="7">
        <v>2046</v>
      </c>
      <c r="E205" s="8">
        <f>VLOOKUP(B205,T.productos!$A$1:$E$15,4,0)</f>
        <v>1.21</v>
      </c>
      <c r="F205" s="8">
        <f>VLOOKUP(B205,T.productos!$A$1:$E$15,5,0)</f>
        <v>0.36</v>
      </c>
      <c r="G205" s="9">
        <f t="shared" si="3"/>
        <v>0.7024793388429752</v>
      </c>
    </row>
    <row r="206" spans="1:7" x14ac:dyDescent="0.25">
      <c r="A206" s="4">
        <v>2</v>
      </c>
      <c r="B206" s="5">
        <v>8</v>
      </c>
      <c r="C206" s="6">
        <v>38946</v>
      </c>
      <c r="D206" s="7">
        <v>2536</v>
      </c>
      <c r="E206" s="8">
        <f>VLOOKUP(B206,T.productos!$A$1:$E$15,4,0)</f>
        <v>3.63</v>
      </c>
      <c r="F206" s="8">
        <f>VLOOKUP(B206,T.productos!$A$1:$E$15,5,0)</f>
        <v>3.35</v>
      </c>
      <c r="G206" s="9">
        <f t="shared" si="3"/>
        <v>7.7134986225895319E-2</v>
      </c>
    </row>
    <row r="207" spans="1:7" x14ac:dyDescent="0.25">
      <c r="A207" s="4">
        <v>2</v>
      </c>
      <c r="B207" s="5">
        <v>8</v>
      </c>
      <c r="C207" s="6">
        <v>38881</v>
      </c>
      <c r="D207" s="7">
        <v>2373</v>
      </c>
      <c r="E207" s="8">
        <f>VLOOKUP(B207,T.productos!$A$1:$E$15,4,0)</f>
        <v>3.63</v>
      </c>
      <c r="F207" s="8">
        <f>VLOOKUP(B207,T.productos!$A$1:$E$15,5,0)</f>
        <v>3.35</v>
      </c>
      <c r="G207" s="9">
        <f t="shared" si="3"/>
        <v>7.7134986225895319E-2</v>
      </c>
    </row>
    <row r="208" spans="1:7" x14ac:dyDescent="0.25">
      <c r="A208" s="4">
        <v>3</v>
      </c>
      <c r="B208" s="5">
        <v>4</v>
      </c>
      <c r="C208" s="6">
        <v>38977</v>
      </c>
      <c r="D208" s="7">
        <v>327</v>
      </c>
      <c r="E208" s="8">
        <f>VLOOKUP(B208,T.productos!$A$1:$E$15,4,0)</f>
        <v>0.61</v>
      </c>
      <c r="F208" s="8">
        <f>VLOOKUP(B208,T.productos!$A$1:$E$15,5,0)</f>
        <v>0.28999999999999998</v>
      </c>
      <c r="G208" s="9">
        <f t="shared" si="3"/>
        <v>0.52459016393442626</v>
      </c>
    </row>
    <row r="209" spans="1:7" x14ac:dyDescent="0.25">
      <c r="A209" s="4">
        <v>4</v>
      </c>
      <c r="B209" s="5">
        <v>2</v>
      </c>
      <c r="C209" s="6">
        <v>38939</v>
      </c>
      <c r="D209" s="7">
        <v>2697</v>
      </c>
      <c r="E209" s="8">
        <f>VLOOKUP(B209,T.productos!$A$1:$E$15,4,0)</f>
        <v>1.63</v>
      </c>
      <c r="F209" s="8">
        <f>VLOOKUP(B209,T.productos!$A$1:$E$15,5,0)</f>
        <v>1.42</v>
      </c>
      <c r="G209" s="9">
        <f t="shared" si="3"/>
        <v>0.12883435582822086</v>
      </c>
    </row>
    <row r="210" spans="1:7" x14ac:dyDescent="0.25">
      <c r="A210" s="4">
        <v>4</v>
      </c>
      <c r="B210" s="5">
        <v>13</v>
      </c>
      <c r="C210" s="6">
        <v>40000</v>
      </c>
      <c r="D210" s="7">
        <v>2290</v>
      </c>
      <c r="E210" s="8">
        <f>VLOOKUP(B210,T.productos!$A$1:$E$15,4,0)</f>
        <v>0.24</v>
      </c>
      <c r="F210" s="8">
        <f>VLOOKUP(B210,T.productos!$A$1:$E$15,5,0)</f>
        <v>0.12</v>
      </c>
      <c r="G210" s="9">
        <f t="shared" si="3"/>
        <v>0.5</v>
      </c>
    </row>
    <row r="211" spans="1:7" x14ac:dyDescent="0.25">
      <c r="A211" s="4">
        <v>4</v>
      </c>
      <c r="B211" s="5">
        <v>14</v>
      </c>
      <c r="C211" s="6">
        <v>38825</v>
      </c>
      <c r="D211" s="7">
        <v>676</v>
      </c>
      <c r="E211" s="8">
        <f>VLOOKUP(B211,T.productos!$A$1:$E$15,4,0)</f>
        <v>3.63</v>
      </c>
      <c r="F211" s="8">
        <f>VLOOKUP(B211,T.productos!$A$1:$E$15,5,0)</f>
        <v>3.2</v>
      </c>
      <c r="G211" s="9">
        <f t="shared" si="3"/>
        <v>0.1184573002754821</v>
      </c>
    </row>
    <row r="212" spans="1:7" x14ac:dyDescent="0.25">
      <c r="A212" s="4">
        <v>3</v>
      </c>
      <c r="B212" s="5">
        <v>10</v>
      </c>
      <c r="C212" s="6">
        <v>38495</v>
      </c>
      <c r="D212" s="7">
        <v>849</v>
      </c>
      <c r="E212" s="8">
        <f>VLOOKUP(B212,T.productos!$A$1:$E$15,4,0)</f>
        <v>0.61</v>
      </c>
      <c r="F212" s="8">
        <f>VLOOKUP(B212,T.productos!$A$1:$E$15,5,0)</f>
        <v>0.4</v>
      </c>
      <c r="G212" s="9">
        <f t="shared" si="3"/>
        <v>0.34426229508196721</v>
      </c>
    </row>
    <row r="213" spans="1:7" x14ac:dyDescent="0.25">
      <c r="A213" s="4">
        <v>2</v>
      </c>
      <c r="B213" s="5">
        <v>4</v>
      </c>
      <c r="C213" s="6">
        <v>39979</v>
      </c>
      <c r="D213" s="7">
        <v>897</v>
      </c>
      <c r="E213" s="8">
        <f>VLOOKUP(B213,T.productos!$A$1:$E$15,4,0)</f>
        <v>0.61</v>
      </c>
      <c r="F213" s="8">
        <f>VLOOKUP(B213,T.productos!$A$1:$E$15,5,0)</f>
        <v>0.28999999999999998</v>
      </c>
      <c r="G213" s="9">
        <f t="shared" si="3"/>
        <v>0.52459016393442626</v>
      </c>
    </row>
    <row r="214" spans="1:7" x14ac:dyDescent="0.25">
      <c r="A214" s="4">
        <v>3</v>
      </c>
      <c r="B214" s="5">
        <v>8</v>
      </c>
      <c r="C214" s="6">
        <v>39104</v>
      </c>
      <c r="D214" s="7">
        <v>1265</v>
      </c>
      <c r="E214" s="8">
        <f>VLOOKUP(B214,T.productos!$A$1:$E$15,4,0)</f>
        <v>3.63</v>
      </c>
      <c r="F214" s="8">
        <f>VLOOKUP(B214,T.productos!$A$1:$E$15,5,0)</f>
        <v>3.35</v>
      </c>
      <c r="G214" s="9">
        <f t="shared" si="3"/>
        <v>7.7134986225895319E-2</v>
      </c>
    </row>
    <row r="215" spans="1:7" x14ac:dyDescent="0.25">
      <c r="A215" s="4">
        <v>4</v>
      </c>
      <c r="B215" s="5">
        <v>10</v>
      </c>
      <c r="C215" s="6">
        <v>38948</v>
      </c>
      <c r="D215" s="7">
        <v>1053</v>
      </c>
      <c r="E215" s="8">
        <f>VLOOKUP(B215,T.productos!$A$1:$E$15,4,0)</f>
        <v>0.61</v>
      </c>
      <c r="F215" s="8">
        <f>VLOOKUP(B215,T.productos!$A$1:$E$15,5,0)</f>
        <v>0.4</v>
      </c>
      <c r="G215" s="9">
        <f t="shared" si="3"/>
        <v>0.34426229508196721</v>
      </c>
    </row>
    <row r="216" spans="1:7" x14ac:dyDescent="0.25">
      <c r="A216" s="4">
        <v>2</v>
      </c>
      <c r="B216" s="5">
        <v>1</v>
      </c>
      <c r="C216" s="6">
        <v>38346</v>
      </c>
      <c r="D216" s="7">
        <v>1516</v>
      </c>
      <c r="E216" s="8">
        <f>VLOOKUP(B216,T.productos!$A$1:$E$15,4,0)</f>
        <v>3.93</v>
      </c>
      <c r="F216" s="8">
        <f>VLOOKUP(B216,T.productos!$A$1:$E$15,5,0)</f>
        <v>3.4</v>
      </c>
      <c r="G216" s="9">
        <f t="shared" si="3"/>
        <v>0.13486005089058525</v>
      </c>
    </row>
    <row r="217" spans="1:7" x14ac:dyDescent="0.25">
      <c r="A217" s="4">
        <v>1</v>
      </c>
      <c r="B217" s="5">
        <v>8</v>
      </c>
      <c r="C217" s="6">
        <v>39764</v>
      </c>
      <c r="D217" s="7">
        <v>880</v>
      </c>
      <c r="E217" s="8">
        <f>VLOOKUP(B217,T.productos!$A$1:$E$15,4,0)</f>
        <v>3.63</v>
      </c>
      <c r="F217" s="8">
        <f>VLOOKUP(B217,T.productos!$A$1:$E$15,5,0)</f>
        <v>3.35</v>
      </c>
      <c r="G217" s="9">
        <f t="shared" si="3"/>
        <v>7.7134986225895319E-2</v>
      </c>
    </row>
    <row r="218" spans="1:7" x14ac:dyDescent="0.25">
      <c r="A218" s="4">
        <v>5</v>
      </c>
      <c r="B218" s="5">
        <v>6</v>
      </c>
      <c r="C218" s="6">
        <v>39741</v>
      </c>
      <c r="D218" s="7">
        <v>2667</v>
      </c>
      <c r="E218" s="8">
        <f>VLOOKUP(B218,T.productos!$A$1:$E$15,4,0)</f>
        <v>2.42</v>
      </c>
      <c r="F218" s="8">
        <f>VLOOKUP(B218,T.productos!$A$1:$E$15,5,0)</f>
        <v>2.2799999999999998</v>
      </c>
      <c r="G218" s="9">
        <f t="shared" si="3"/>
        <v>5.7851239669421489E-2</v>
      </c>
    </row>
    <row r="219" spans="1:7" x14ac:dyDescent="0.25">
      <c r="A219" s="4">
        <v>2</v>
      </c>
      <c r="B219" s="5">
        <v>6</v>
      </c>
      <c r="C219" s="6">
        <v>38480</v>
      </c>
      <c r="D219" s="7">
        <v>2747</v>
      </c>
      <c r="E219" s="8">
        <f>VLOOKUP(B219,T.productos!$A$1:$E$15,4,0)</f>
        <v>2.42</v>
      </c>
      <c r="F219" s="8">
        <f>VLOOKUP(B219,T.productos!$A$1:$E$15,5,0)</f>
        <v>2.2799999999999998</v>
      </c>
      <c r="G219" s="9">
        <f t="shared" si="3"/>
        <v>5.7851239669421489E-2</v>
      </c>
    </row>
    <row r="220" spans="1:7" x14ac:dyDescent="0.25">
      <c r="A220" s="4">
        <v>4</v>
      </c>
      <c r="B220" s="5">
        <v>12</v>
      </c>
      <c r="C220" s="6">
        <v>39751</v>
      </c>
      <c r="D220" s="7">
        <v>2257</v>
      </c>
      <c r="E220" s="8">
        <f>VLOOKUP(B220,T.productos!$A$1:$E$15,4,0)</f>
        <v>2.42</v>
      </c>
      <c r="F220" s="8">
        <f>VLOOKUP(B220,T.productos!$A$1:$E$15,5,0)</f>
        <v>1.68</v>
      </c>
      <c r="G220" s="9">
        <f t="shared" si="3"/>
        <v>0.30578512396694213</v>
      </c>
    </row>
    <row r="221" spans="1:7" x14ac:dyDescent="0.25">
      <c r="A221" s="4">
        <v>3</v>
      </c>
      <c r="B221" s="5">
        <v>9</v>
      </c>
      <c r="C221" s="6">
        <v>38961</v>
      </c>
      <c r="D221" s="7">
        <v>1523</v>
      </c>
      <c r="E221" s="8">
        <f>VLOOKUP(B221,T.productos!$A$1:$E$15,4,0)</f>
        <v>1.21</v>
      </c>
      <c r="F221" s="8">
        <f>VLOOKUP(B221,T.productos!$A$1:$E$15,5,0)</f>
        <v>0.36</v>
      </c>
      <c r="G221" s="9">
        <f t="shared" si="3"/>
        <v>0.7024793388429752</v>
      </c>
    </row>
    <row r="222" spans="1:7" x14ac:dyDescent="0.25">
      <c r="A222" s="4">
        <v>4</v>
      </c>
      <c r="B222" s="5">
        <v>11</v>
      </c>
      <c r="C222" s="6">
        <v>39716</v>
      </c>
      <c r="D222" s="7">
        <v>1383</v>
      </c>
      <c r="E222" s="8">
        <f>VLOOKUP(B222,T.productos!$A$1:$E$15,4,0)</f>
        <v>1.21</v>
      </c>
      <c r="F222" s="8">
        <f>VLOOKUP(B222,T.productos!$A$1:$E$15,5,0)</f>
        <v>0.72</v>
      </c>
      <c r="G222" s="9">
        <f t="shared" si="3"/>
        <v>0.4049586776859504</v>
      </c>
    </row>
    <row r="223" spans="1:7" x14ac:dyDescent="0.25">
      <c r="A223" s="4">
        <v>4</v>
      </c>
      <c r="B223" s="5">
        <v>12</v>
      </c>
      <c r="C223" s="6">
        <v>39626</v>
      </c>
      <c r="D223" s="7">
        <v>2597</v>
      </c>
      <c r="E223" s="8">
        <f>VLOOKUP(B223,T.productos!$A$1:$E$15,4,0)</f>
        <v>2.42</v>
      </c>
      <c r="F223" s="8">
        <f>VLOOKUP(B223,T.productos!$A$1:$E$15,5,0)</f>
        <v>1.68</v>
      </c>
      <c r="G223" s="9">
        <f t="shared" si="3"/>
        <v>0.30578512396694213</v>
      </c>
    </row>
    <row r="224" spans="1:7" x14ac:dyDescent="0.25">
      <c r="A224" s="4">
        <v>3</v>
      </c>
      <c r="B224" s="5">
        <v>11</v>
      </c>
      <c r="C224" s="6">
        <v>38350</v>
      </c>
      <c r="D224" s="7">
        <v>787</v>
      </c>
      <c r="E224" s="8">
        <f>VLOOKUP(B224,T.productos!$A$1:$E$15,4,0)</f>
        <v>1.21</v>
      </c>
      <c r="F224" s="8">
        <f>VLOOKUP(B224,T.productos!$A$1:$E$15,5,0)</f>
        <v>0.72</v>
      </c>
      <c r="G224" s="9">
        <f t="shared" si="3"/>
        <v>0.4049586776859504</v>
      </c>
    </row>
    <row r="225" spans="1:7" x14ac:dyDescent="0.25">
      <c r="A225" s="4">
        <v>2</v>
      </c>
      <c r="B225" s="5">
        <v>9</v>
      </c>
      <c r="C225" s="6">
        <v>39569</v>
      </c>
      <c r="D225" s="7">
        <v>2547</v>
      </c>
      <c r="E225" s="8">
        <f>VLOOKUP(B225,T.productos!$A$1:$E$15,4,0)</f>
        <v>1.21</v>
      </c>
      <c r="F225" s="8">
        <f>VLOOKUP(B225,T.productos!$A$1:$E$15,5,0)</f>
        <v>0.36</v>
      </c>
      <c r="G225" s="9">
        <f t="shared" si="3"/>
        <v>0.7024793388429752</v>
      </c>
    </row>
    <row r="226" spans="1:7" x14ac:dyDescent="0.25">
      <c r="A226" s="4">
        <v>2</v>
      </c>
      <c r="B226" s="5">
        <v>11</v>
      </c>
      <c r="C226" s="6">
        <v>39796</v>
      </c>
      <c r="D226" s="7">
        <v>1565</v>
      </c>
      <c r="E226" s="8">
        <f>VLOOKUP(B226,T.productos!$A$1:$E$15,4,0)</f>
        <v>1.21</v>
      </c>
      <c r="F226" s="8">
        <f>VLOOKUP(B226,T.productos!$A$1:$E$15,5,0)</f>
        <v>0.72</v>
      </c>
      <c r="G226" s="9">
        <f t="shared" si="3"/>
        <v>0.4049586776859504</v>
      </c>
    </row>
    <row r="227" spans="1:7" x14ac:dyDescent="0.25">
      <c r="A227" s="4">
        <v>1</v>
      </c>
      <c r="B227" s="5">
        <v>5</v>
      </c>
      <c r="C227" s="6">
        <v>39008</v>
      </c>
      <c r="D227" s="7">
        <v>313</v>
      </c>
      <c r="E227" s="8">
        <f>VLOOKUP(B227,T.productos!$A$1:$E$15,4,0)</f>
        <v>2.54</v>
      </c>
      <c r="F227" s="8">
        <f>VLOOKUP(B227,T.productos!$A$1:$E$15,5,0)</f>
        <v>2.2799999999999998</v>
      </c>
      <c r="G227" s="9">
        <f t="shared" si="3"/>
        <v>0.10236220472440945</v>
      </c>
    </row>
    <row r="228" spans="1:7" x14ac:dyDescent="0.25">
      <c r="A228" s="4">
        <v>3</v>
      </c>
      <c r="B228" s="5">
        <v>1</v>
      </c>
      <c r="C228" s="6">
        <v>38307</v>
      </c>
      <c r="D228" s="7">
        <v>2609</v>
      </c>
      <c r="E228" s="8">
        <f>VLOOKUP(B228,T.productos!$A$1:$E$15,4,0)</f>
        <v>3.93</v>
      </c>
      <c r="F228" s="8">
        <f>VLOOKUP(B228,T.productos!$A$1:$E$15,5,0)</f>
        <v>3.4</v>
      </c>
      <c r="G228" s="9">
        <f t="shared" si="3"/>
        <v>0.13486005089058525</v>
      </c>
    </row>
    <row r="229" spans="1:7" x14ac:dyDescent="0.25">
      <c r="A229" s="4">
        <v>4</v>
      </c>
      <c r="B229" s="5">
        <v>11</v>
      </c>
      <c r="C229" s="6">
        <v>39052</v>
      </c>
      <c r="D229" s="7">
        <v>389</v>
      </c>
      <c r="E229" s="8">
        <f>VLOOKUP(B229,T.productos!$A$1:$E$15,4,0)</f>
        <v>1.21</v>
      </c>
      <c r="F229" s="8">
        <f>VLOOKUP(B229,T.productos!$A$1:$E$15,5,0)</f>
        <v>0.72</v>
      </c>
      <c r="G229" s="9">
        <f t="shared" si="3"/>
        <v>0.4049586776859504</v>
      </c>
    </row>
    <row r="230" spans="1:7" x14ac:dyDescent="0.25">
      <c r="A230" s="4">
        <v>5</v>
      </c>
      <c r="B230" s="5">
        <v>4</v>
      </c>
      <c r="C230" s="6">
        <v>39747</v>
      </c>
      <c r="D230" s="7">
        <v>2412</v>
      </c>
      <c r="E230" s="8">
        <f>VLOOKUP(B230,T.productos!$A$1:$E$15,4,0)</f>
        <v>0.61</v>
      </c>
      <c r="F230" s="8">
        <f>VLOOKUP(B230,T.productos!$A$1:$E$15,5,0)</f>
        <v>0.28999999999999998</v>
      </c>
      <c r="G230" s="9">
        <f t="shared" si="3"/>
        <v>0.52459016393442626</v>
      </c>
    </row>
    <row r="231" spans="1:7" x14ac:dyDescent="0.25">
      <c r="A231" s="4">
        <v>2</v>
      </c>
      <c r="B231" s="5">
        <v>6</v>
      </c>
      <c r="C231" s="6">
        <v>38062</v>
      </c>
      <c r="D231" s="7">
        <v>1276</v>
      </c>
      <c r="E231" s="8">
        <f>VLOOKUP(B231,T.productos!$A$1:$E$15,4,0)</f>
        <v>2.42</v>
      </c>
      <c r="F231" s="8">
        <f>VLOOKUP(B231,T.productos!$A$1:$E$15,5,0)</f>
        <v>2.2799999999999998</v>
      </c>
      <c r="G231" s="9">
        <f t="shared" si="3"/>
        <v>5.7851239669421489E-2</v>
      </c>
    </row>
    <row r="232" spans="1:7" x14ac:dyDescent="0.25">
      <c r="A232" s="4">
        <v>5</v>
      </c>
      <c r="B232" s="5">
        <v>3</v>
      </c>
      <c r="C232" s="6">
        <v>38007</v>
      </c>
      <c r="D232" s="7">
        <v>578</v>
      </c>
      <c r="E232" s="8">
        <f>VLOOKUP(B232,T.productos!$A$1:$E$15,4,0)</f>
        <v>1.94</v>
      </c>
      <c r="F232" s="8">
        <f>VLOOKUP(B232,T.productos!$A$1:$E$15,5,0)</f>
        <v>1.89</v>
      </c>
      <c r="G232" s="9">
        <f t="shared" si="3"/>
        <v>2.5773195876288658E-2</v>
      </c>
    </row>
    <row r="233" spans="1:7" x14ac:dyDescent="0.25">
      <c r="A233" s="4">
        <v>4</v>
      </c>
      <c r="B233" s="5">
        <v>3</v>
      </c>
      <c r="C233" s="6">
        <v>39487</v>
      </c>
      <c r="D233" s="7">
        <v>568</v>
      </c>
      <c r="E233" s="8">
        <f>VLOOKUP(B233,T.productos!$A$1:$E$15,4,0)</f>
        <v>1.94</v>
      </c>
      <c r="F233" s="8">
        <f>VLOOKUP(B233,T.productos!$A$1:$E$15,5,0)</f>
        <v>1.89</v>
      </c>
      <c r="G233" s="9">
        <f t="shared" si="3"/>
        <v>2.5773195876288658E-2</v>
      </c>
    </row>
    <row r="234" spans="1:7" x14ac:dyDescent="0.25">
      <c r="A234" s="4">
        <v>4</v>
      </c>
      <c r="B234" s="5">
        <v>7</v>
      </c>
      <c r="C234" s="6">
        <v>38706</v>
      </c>
      <c r="D234" s="7">
        <v>570</v>
      </c>
      <c r="E234" s="8">
        <f>VLOOKUP(B234,T.productos!$A$1:$E$15,4,0)</f>
        <v>0.97</v>
      </c>
      <c r="F234" s="8">
        <f>VLOOKUP(B234,T.productos!$A$1:$E$15,5,0)</f>
        <v>0.19</v>
      </c>
      <c r="G234" s="9">
        <f t="shared" si="3"/>
        <v>0.80412371134020622</v>
      </c>
    </row>
    <row r="235" spans="1:7" x14ac:dyDescent="0.25">
      <c r="A235" s="4">
        <v>1</v>
      </c>
      <c r="B235" s="5">
        <v>5</v>
      </c>
      <c r="C235" s="6">
        <v>38879</v>
      </c>
      <c r="D235" s="7">
        <v>1303</v>
      </c>
      <c r="E235" s="8">
        <f>VLOOKUP(B235,T.productos!$A$1:$E$15,4,0)</f>
        <v>2.54</v>
      </c>
      <c r="F235" s="8">
        <f>VLOOKUP(B235,T.productos!$A$1:$E$15,5,0)</f>
        <v>2.2799999999999998</v>
      </c>
      <c r="G235" s="9">
        <f t="shared" si="3"/>
        <v>0.10236220472440945</v>
      </c>
    </row>
    <row r="236" spans="1:7" x14ac:dyDescent="0.25">
      <c r="A236" s="4">
        <v>2</v>
      </c>
      <c r="B236" s="5">
        <v>4</v>
      </c>
      <c r="C236" s="6">
        <v>38508</v>
      </c>
      <c r="D236" s="7">
        <v>2521</v>
      </c>
      <c r="E236" s="8">
        <f>VLOOKUP(B236,T.productos!$A$1:$E$15,4,0)</f>
        <v>0.61</v>
      </c>
      <c r="F236" s="8">
        <f>VLOOKUP(B236,T.productos!$A$1:$E$15,5,0)</f>
        <v>0.28999999999999998</v>
      </c>
      <c r="G236" s="9">
        <f t="shared" si="3"/>
        <v>0.52459016393442626</v>
      </c>
    </row>
    <row r="237" spans="1:7" x14ac:dyDescent="0.25">
      <c r="A237" s="4">
        <v>3</v>
      </c>
      <c r="B237" s="5">
        <v>13</v>
      </c>
      <c r="C237" s="6">
        <v>38265</v>
      </c>
      <c r="D237" s="7">
        <v>882</v>
      </c>
      <c r="E237" s="8">
        <f>VLOOKUP(B237,T.productos!$A$1:$E$15,4,0)</f>
        <v>0.24</v>
      </c>
      <c r="F237" s="8">
        <f>VLOOKUP(B237,T.productos!$A$1:$E$15,5,0)</f>
        <v>0.12</v>
      </c>
      <c r="G237" s="9">
        <f t="shared" si="3"/>
        <v>0.5</v>
      </c>
    </row>
    <row r="238" spans="1:7" x14ac:dyDescent="0.25">
      <c r="A238" s="4">
        <v>3</v>
      </c>
      <c r="B238" s="5">
        <v>10</v>
      </c>
      <c r="C238" s="6">
        <v>38476</v>
      </c>
      <c r="D238" s="7">
        <v>2112</v>
      </c>
      <c r="E238" s="8">
        <f>VLOOKUP(B238,T.productos!$A$1:$E$15,4,0)</f>
        <v>0.61</v>
      </c>
      <c r="F238" s="8">
        <f>VLOOKUP(B238,T.productos!$A$1:$E$15,5,0)</f>
        <v>0.4</v>
      </c>
      <c r="G238" s="9">
        <f t="shared" si="3"/>
        <v>0.34426229508196721</v>
      </c>
    </row>
    <row r="239" spans="1:7" x14ac:dyDescent="0.25">
      <c r="A239" s="4">
        <v>2</v>
      </c>
      <c r="B239" s="5">
        <v>6</v>
      </c>
      <c r="C239" s="6">
        <v>38753</v>
      </c>
      <c r="D239" s="7">
        <v>365</v>
      </c>
      <c r="E239" s="8">
        <f>VLOOKUP(B239,T.productos!$A$1:$E$15,4,0)</f>
        <v>2.42</v>
      </c>
      <c r="F239" s="8">
        <f>VLOOKUP(B239,T.productos!$A$1:$E$15,5,0)</f>
        <v>2.2799999999999998</v>
      </c>
      <c r="G239" s="9">
        <f t="shared" si="3"/>
        <v>5.7851239669421489E-2</v>
      </c>
    </row>
    <row r="240" spans="1:7" x14ac:dyDescent="0.25">
      <c r="A240" s="4">
        <v>1</v>
      </c>
      <c r="B240" s="5">
        <v>14</v>
      </c>
      <c r="C240" s="6">
        <v>38904</v>
      </c>
      <c r="D240" s="7">
        <v>1967</v>
      </c>
      <c r="E240" s="8">
        <f>VLOOKUP(B240,T.productos!$A$1:$E$15,4,0)</f>
        <v>3.63</v>
      </c>
      <c r="F240" s="8">
        <f>VLOOKUP(B240,T.productos!$A$1:$E$15,5,0)</f>
        <v>3.2</v>
      </c>
      <c r="G240" s="9">
        <f t="shared" si="3"/>
        <v>0.1184573002754821</v>
      </c>
    </row>
    <row r="241" spans="1:7" x14ac:dyDescent="0.25">
      <c r="A241" s="4">
        <v>4</v>
      </c>
      <c r="B241" s="5">
        <v>12</v>
      </c>
      <c r="C241" s="6">
        <v>39718</v>
      </c>
      <c r="D241" s="7">
        <v>2947</v>
      </c>
      <c r="E241" s="8">
        <f>VLOOKUP(B241,T.productos!$A$1:$E$15,4,0)</f>
        <v>2.42</v>
      </c>
      <c r="F241" s="8">
        <f>VLOOKUP(B241,T.productos!$A$1:$E$15,5,0)</f>
        <v>1.68</v>
      </c>
      <c r="G241" s="9">
        <f t="shared" si="3"/>
        <v>0.30578512396694213</v>
      </c>
    </row>
    <row r="242" spans="1:7" x14ac:dyDescent="0.25">
      <c r="A242" s="4">
        <v>3</v>
      </c>
      <c r="B242" s="5">
        <v>3</v>
      </c>
      <c r="C242" s="6">
        <v>38547</v>
      </c>
      <c r="D242" s="7">
        <v>1288</v>
      </c>
      <c r="E242" s="8">
        <f>VLOOKUP(B242,T.productos!$A$1:$E$15,4,0)</f>
        <v>1.94</v>
      </c>
      <c r="F242" s="8">
        <f>VLOOKUP(B242,T.productos!$A$1:$E$15,5,0)</f>
        <v>1.89</v>
      </c>
      <c r="G242" s="9">
        <f t="shared" si="3"/>
        <v>2.5773195876288658E-2</v>
      </c>
    </row>
    <row r="243" spans="1:7" x14ac:dyDescent="0.25">
      <c r="A243" s="4">
        <v>3</v>
      </c>
      <c r="B243" s="5">
        <v>8</v>
      </c>
      <c r="C243" s="6">
        <v>38552</v>
      </c>
      <c r="D243" s="7">
        <v>705</v>
      </c>
      <c r="E243" s="8">
        <f>VLOOKUP(B243,T.productos!$A$1:$E$15,4,0)</f>
        <v>3.63</v>
      </c>
      <c r="F243" s="8">
        <f>VLOOKUP(B243,T.productos!$A$1:$E$15,5,0)</f>
        <v>3.35</v>
      </c>
      <c r="G243" s="9">
        <f t="shared" si="3"/>
        <v>7.7134986225895319E-2</v>
      </c>
    </row>
    <row r="244" spans="1:7" x14ac:dyDescent="0.25">
      <c r="A244" s="4">
        <v>3</v>
      </c>
      <c r="B244" s="5">
        <v>12</v>
      </c>
      <c r="C244" s="6">
        <v>38781</v>
      </c>
      <c r="D244" s="7">
        <v>2219</v>
      </c>
      <c r="E244" s="8">
        <f>VLOOKUP(B244,T.productos!$A$1:$E$15,4,0)</f>
        <v>2.42</v>
      </c>
      <c r="F244" s="8">
        <f>VLOOKUP(B244,T.productos!$A$1:$E$15,5,0)</f>
        <v>1.68</v>
      </c>
      <c r="G244" s="9">
        <f t="shared" si="3"/>
        <v>0.30578512396694213</v>
      </c>
    </row>
    <row r="245" spans="1:7" x14ac:dyDescent="0.25">
      <c r="A245" s="4">
        <v>1</v>
      </c>
      <c r="B245" s="5">
        <v>1</v>
      </c>
      <c r="C245" s="6">
        <v>38005</v>
      </c>
      <c r="D245" s="7">
        <v>2064</v>
      </c>
      <c r="E245" s="8">
        <f>VLOOKUP(B245,T.productos!$A$1:$E$15,4,0)</f>
        <v>3.93</v>
      </c>
      <c r="F245" s="8">
        <f>VLOOKUP(B245,T.productos!$A$1:$E$15,5,0)</f>
        <v>3.4</v>
      </c>
      <c r="G245" s="9">
        <f t="shared" si="3"/>
        <v>0.13486005089058525</v>
      </c>
    </row>
    <row r="246" spans="1:7" x14ac:dyDescent="0.25">
      <c r="A246" s="4">
        <v>2</v>
      </c>
      <c r="B246" s="5">
        <v>10</v>
      </c>
      <c r="C246" s="6">
        <v>38842</v>
      </c>
      <c r="D246" s="7">
        <v>1504</v>
      </c>
      <c r="E246" s="8">
        <f>VLOOKUP(B246,T.productos!$A$1:$E$15,4,0)</f>
        <v>0.61</v>
      </c>
      <c r="F246" s="8">
        <f>VLOOKUP(B246,T.productos!$A$1:$E$15,5,0)</f>
        <v>0.4</v>
      </c>
      <c r="G246" s="9">
        <f t="shared" si="3"/>
        <v>0.34426229508196721</v>
      </c>
    </row>
    <row r="247" spans="1:7" x14ac:dyDescent="0.25">
      <c r="A247" s="4">
        <v>3</v>
      </c>
      <c r="B247" s="5">
        <v>13</v>
      </c>
      <c r="C247" s="6">
        <v>39453</v>
      </c>
      <c r="D247" s="7">
        <v>2076</v>
      </c>
      <c r="E247" s="8">
        <f>VLOOKUP(B247,T.productos!$A$1:$E$15,4,0)</f>
        <v>0.24</v>
      </c>
      <c r="F247" s="8">
        <f>VLOOKUP(B247,T.productos!$A$1:$E$15,5,0)</f>
        <v>0.12</v>
      </c>
      <c r="G247" s="9">
        <f t="shared" si="3"/>
        <v>0.5</v>
      </c>
    </row>
    <row r="248" spans="1:7" x14ac:dyDescent="0.25">
      <c r="A248" s="4">
        <v>1</v>
      </c>
      <c r="B248" s="5">
        <v>14</v>
      </c>
      <c r="C248" s="6">
        <v>38421</v>
      </c>
      <c r="D248" s="7">
        <v>687</v>
      </c>
      <c r="E248" s="8">
        <f>VLOOKUP(B248,T.productos!$A$1:$E$15,4,0)</f>
        <v>3.63</v>
      </c>
      <c r="F248" s="8">
        <f>VLOOKUP(B248,T.productos!$A$1:$E$15,5,0)</f>
        <v>3.2</v>
      </c>
      <c r="G248" s="9">
        <f t="shared" si="3"/>
        <v>0.1184573002754821</v>
      </c>
    </row>
    <row r="249" spans="1:7" x14ac:dyDescent="0.25">
      <c r="A249" s="4">
        <v>2</v>
      </c>
      <c r="B249" s="5">
        <v>12</v>
      </c>
      <c r="C249" s="6">
        <v>39063</v>
      </c>
      <c r="D249" s="7">
        <v>360</v>
      </c>
      <c r="E249" s="8">
        <f>VLOOKUP(B249,T.productos!$A$1:$E$15,4,0)</f>
        <v>2.42</v>
      </c>
      <c r="F249" s="8">
        <f>VLOOKUP(B249,T.productos!$A$1:$E$15,5,0)</f>
        <v>1.68</v>
      </c>
      <c r="G249" s="9">
        <f t="shared" si="3"/>
        <v>0.30578512396694213</v>
      </c>
    </row>
    <row r="250" spans="1:7" x14ac:dyDescent="0.25">
      <c r="A250" s="4">
        <v>5</v>
      </c>
      <c r="B250" s="5">
        <v>9</v>
      </c>
      <c r="C250" s="6">
        <v>38830</v>
      </c>
      <c r="D250" s="7">
        <v>2144</v>
      </c>
      <c r="E250" s="8">
        <f>VLOOKUP(B250,T.productos!$A$1:$E$15,4,0)</f>
        <v>1.21</v>
      </c>
      <c r="F250" s="8">
        <f>VLOOKUP(B250,T.productos!$A$1:$E$15,5,0)</f>
        <v>0.36</v>
      </c>
      <c r="G250" s="9">
        <f t="shared" si="3"/>
        <v>0.7024793388429752</v>
      </c>
    </row>
    <row r="251" spans="1:7" x14ac:dyDescent="0.25">
      <c r="A251" s="4">
        <v>2</v>
      </c>
      <c r="B251" s="5">
        <v>9</v>
      </c>
      <c r="C251" s="6">
        <v>38436</v>
      </c>
      <c r="D251" s="7">
        <v>759</v>
      </c>
      <c r="E251" s="8">
        <f>VLOOKUP(B251,T.productos!$A$1:$E$15,4,0)</f>
        <v>1.21</v>
      </c>
      <c r="F251" s="8">
        <f>VLOOKUP(B251,T.productos!$A$1:$E$15,5,0)</f>
        <v>0.36</v>
      </c>
      <c r="G251" s="9">
        <f t="shared" si="3"/>
        <v>0.7024793388429752</v>
      </c>
    </row>
    <row r="252" spans="1:7" x14ac:dyDescent="0.25">
      <c r="A252" s="4">
        <v>3</v>
      </c>
      <c r="B252" s="5">
        <v>8</v>
      </c>
      <c r="C252" s="6">
        <v>38080</v>
      </c>
      <c r="D252" s="7">
        <v>881</v>
      </c>
      <c r="E252" s="8">
        <f>VLOOKUP(B252,T.productos!$A$1:$E$15,4,0)</f>
        <v>3.63</v>
      </c>
      <c r="F252" s="8">
        <f>VLOOKUP(B252,T.productos!$A$1:$E$15,5,0)</f>
        <v>3.35</v>
      </c>
      <c r="G252" s="9">
        <f t="shared" si="3"/>
        <v>7.7134986225895319E-2</v>
      </c>
    </row>
    <row r="253" spans="1:7" x14ac:dyDescent="0.25">
      <c r="A253" s="4">
        <v>2</v>
      </c>
      <c r="B253" s="5">
        <v>10</v>
      </c>
      <c r="C253" s="6">
        <v>38534</v>
      </c>
      <c r="D253" s="7">
        <v>2505</v>
      </c>
      <c r="E253" s="8">
        <f>VLOOKUP(B253,T.productos!$A$1:$E$15,4,0)</f>
        <v>0.61</v>
      </c>
      <c r="F253" s="8">
        <f>VLOOKUP(B253,T.productos!$A$1:$E$15,5,0)</f>
        <v>0.4</v>
      </c>
      <c r="G253" s="9">
        <f t="shared" si="3"/>
        <v>0.34426229508196721</v>
      </c>
    </row>
    <row r="254" spans="1:7" x14ac:dyDescent="0.25">
      <c r="A254" s="4">
        <v>1</v>
      </c>
      <c r="B254" s="5">
        <v>6</v>
      </c>
      <c r="C254" s="6">
        <v>39311</v>
      </c>
      <c r="D254" s="7">
        <v>2279</v>
      </c>
      <c r="E254" s="8">
        <f>VLOOKUP(B254,T.productos!$A$1:$E$15,4,0)</f>
        <v>2.42</v>
      </c>
      <c r="F254" s="8">
        <f>VLOOKUP(B254,T.productos!$A$1:$E$15,5,0)</f>
        <v>2.2799999999999998</v>
      </c>
      <c r="G254" s="9">
        <f t="shared" si="3"/>
        <v>5.7851239669421489E-2</v>
      </c>
    </row>
    <row r="255" spans="1:7" x14ac:dyDescent="0.25">
      <c r="A255" s="4">
        <v>5</v>
      </c>
      <c r="B255" s="5">
        <v>10</v>
      </c>
      <c r="C255" s="6">
        <v>38753</v>
      </c>
      <c r="D255" s="7">
        <v>1491</v>
      </c>
      <c r="E255" s="8">
        <f>VLOOKUP(B255,T.productos!$A$1:$E$15,4,0)</f>
        <v>0.61</v>
      </c>
      <c r="F255" s="8">
        <f>VLOOKUP(B255,T.productos!$A$1:$E$15,5,0)</f>
        <v>0.4</v>
      </c>
      <c r="G255" s="9">
        <f t="shared" si="3"/>
        <v>0.34426229508196721</v>
      </c>
    </row>
    <row r="256" spans="1:7" x14ac:dyDescent="0.25">
      <c r="A256" s="4">
        <v>4</v>
      </c>
      <c r="B256" s="5">
        <v>4</v>
      </c>
      <c r="C256" s="6">
        <v>38847</v>
      </c>
      <c r="D256" s="7">
        <v>1960</v>
      </c>
      <c r="E256" s="8">
        <f>VLOOKUP(B256,T.productos!$A$1:$E$15,4,0)</f>
        <v>0.61</v>
      </c>
      <c r="F256" s="8">
        <f>VLOOKUP(B256,T.productos!$A$1:$E$15,5,0)</f>
        <v>0.28999999999999998</v>
      </c>
      <c r="G256" s="9">
        <f t="shared" si="3"/>
        <v>0.52459016393442626</v>
      </c>
    </row>
    <row r="257" spans="1:7" x14ac:dyDescent="0.25">
      <c r="A257" s="4">
        <v>2</v>
      </c>
      <c r="B257" s="5">
        <v>8</v>
      </c>
      <c r="C257" s="6">
        <v>38509</v>
      </c>
      <c r="D257" s="7">
        <v>813</v>
      </c>
      <c r="E257" s="8">
        <f>VLOOKUP(B257,T.productos!$A$1:$E$15,4,0)</f>
        <v>3.63</v>
      </c>
      <c r="F257" s="8">
        <f>VLOOKUP(B257,T.productos!$A$1:$E$15,5,0)</f>
        <v>3.35</v>
      </c>
      <c r="G257" s="9">
        <f t="shared" si="3"/>
        <v>7.7134986225895319E-2</v>
      </c>
    </row>
    <row r="258" spans="1:7" x14ac:dyDescent="0.25">
      <c r="A258" s="4">
        <v>3</v>
      </c>
      <c r="B258" s="5">
        <v>12</v>
      </c>
      <c r="C258" s="6">
        <v>38009</v>
      </c>
      <c r="D258" s="7">
        <v>615</v>
      </c>
      <c r="E258" s="8">
        <f>VLOOKUP(B258,T.productos!$A$1:$E$15,4,0)</f>
        <v>2.42</v>
      </c>
      <c r="F258" s="8">
        <f>VLOOKUP(B258,T.productos!$A$1:$E$15,5,0)</f>
        <v>1.68</v>
      </c>
      <c r="G258" s="9">
        <f t="shared" ref="G258:G321" si="4">margen(D258,E258,F258)</f>
        <v>0.30578512396694213</v>
      </c>
    </row>
    <row r="259" spans="1:7" x14ac:dyDescent="0.25">
      <c r="A259" s="4">
        <v>1</v>
      </c>
      <c r="B259" s="5">
        <v>5</v>
      </c>
      <c r="C259" s="6">
        <v>38630</v>
      </c>
      <c r="D259" s="7">
        <v>2000</v>
      </c>
      <c r="E259" s="8">
        <f>VLOOKUP(B259,T.productos!$A$1:$E$15,4,0)</f>
        <v>2.54</v>
      </c>
      <c r="F259" s="8">
        <f>VLOOKUP(B259,T.productos!$A$1:$E$15,5,0)</f>
        <v>2.2799999999999998</v>
      </c>
      <c r="G259" s="9">
        <f t="shared" si="4"/>
        <v>0.10236220472440945</v>
      </c>
    </row>
    <row r="260" spans="1:7" x14ac:dyDescent="0.25">
      <c r="A260" s="4">
        <v>5</v>
      </c>
      <c r="B260" s="5">
        <v>4</v>
      </c>
      <c r="C260" s="6">
        <v>39025</v>
      </c>
      <c r="D260" s="7">
        <v>2524</v>
      </c>
      <c r="E260" s="8">
        <f>VLOOKUP(B260,T.productos!$A$1:$E$15,4,0)</f>
        <v>0.61</v>
      </c>
      <c r="F260" s="8">
        <f>VLOOKUP(B260,T.productos!$A$1:$E$15,5,0)</f>
        <v>0.28999999999999998</v>
      </c>
      <c r="G260" s="9">
        <f t="shared" si="4"/>
        <v>0.52459016393442626</v>
      </c>
    </row>
    <row r="261" spans="1:7" x14ac:dyDescent="0.25">
      <c r="A261" s="4">
        <v>1</v>
      </c>
      <c r="B261" s="5">
        <v>14</v>
      </c>
      <c r="C261" s="6">
        <v>39798</v>
      </c>
      <c r="D261" s="7">
        <v>1811</v>
      </c>
      <c r="E261" s="8">
        <f>VLOOKUP(B261,T.productos!$A$1:$E$15,4,0)</f>
        <v>3.63</v>
      </c>
      <c r="F261" s="8">
        <f>VLOOKUP(B261,T.productos!$A$1:$E$15,5,0)</f>
        <v>3.2</v>
      </c>
      <c r="G261" s="9">
        <f t="shared" si="4"/>
        <v>0.1184573002754821</v>
      </c>
    </row>
    <row r="262" spans="1:7" x14ac:dyDescent="0.25">
      <c r="A262" s="4">
        <v>2</v>
      </c>
      <c r="B262" s="5">
        <v>3</v>
      </c>
      <c r="C262" s="6">
        <v>39352</v>
      </c>
      <c r="D262" s="7">
        <v>787</v>
      </c>
      <c r="E262" s="8">
        <f>VLOOKUP(B262,T.productos!$A$1:$E$15,4,0)</f>
        <v>1.94</v>
      </c>
      <c r="F262" s="8">
        <f>VLOOKUP(B262,T.productos!$A$1:$E$15,5,0)</f>
        <v>1.89</v>
      </c>
      <c r="G262" s="9">
        <f t="shared" si="4"/>
        <v>2.5773195876288658E-2</v>
      </c>
    </row>
    <row r="263" spans="1:7" x14ac:dyDescent="0.25">
      <c r="A263" s="4">
        <v>5</v>
      </c>
      <c r="B263" s="5">
        <v>5</v>
      </c>
      <c r="C263" s="6">
        <v>39952</v>
      </c>
      <c r="D263" s="7">
        <v>1492</v>
      </c>
      <c r="E263" s="8">
        <f>VLOOKUP(B263,T.productos!$A$1:$E$15,4,0)</f>
        <v>2.54</v>
      </c>
      <c r="F263" s="8">
        <f>VLOOKUP(B263,T.productos!$A$1:$E$15,5,0)</f>
        <v>2.2799999999999998</v>
      </c>
      <c r="G263" s="9">
        <f t="shared" si="4"/>
        <v>0.10236220472440945</v>
      </c>
    </row>
    <row r="264" spans="1:7" x14ac:dyDescent="0.25">
      <c r="A264" s="4">
        <v>2</v>
      </c>
      <c r="B264" s="5">
        <v>1</v>
      </c>
      <c r="C264" s="6">
        <v>39695</v>
      </c>
      <c r="D264" s="7">
        <v>1655</v>
      </c>
      <c r="E264" s="8">
        <f>VLOOKUP(B264,T.productos!$A$1:$E$15,4,0)</f>
        <v>3.93</v>
      </c>
      <c r="F264" s="8">
        <f>VLOOKUP(B264,T.productos!$A$1:$E$15,5,0)</f>
        <v>3.4</v>
      </c>
      <c r="G264" s="9">
        <f t="shared" si="4"/>
        <v>0.13486005089058525</v>
      </c>
    </row>
    <row r="265" spans="1:7" x14ac:dyDescent="0.25">
      <c r="A265" s="4">
        <v>4</v>
      </c>
      <c r="B265" s="5">
        <v>6</v>
      </c>
      <c r="C265" s="6">
        <v>38970</v>
      </c>
      <c r="D265" s="7">
        <v>2508</v>
      </c>
      <c r="E265" s="8">
        <f>VLOOKUP(B265,T.productos!$A$1:$E$15,4,0)</f>
        <v>2.42</v>
      </c>
      <c r="F265" s="8">
        <f>VLOOKUP(B265,T.productos!$A$1:$E$15,5,0)</f>
        <v>2.2799999999999998</v>
      </c>
      <c r="G265" s="9">
        <f t="shared" si="4"/>
        <v>5.7851239669421489E-2</v>
      </c>
    </row>
    <row r="266" spans="1:7" x14ac:dyDescent="0.25">
      <c r="A266" s="4">
        <v>2</v>
      </c>
      <c r="B266" s="5">
        <v>2</v>
      </c>
      <c r="C266" s="6">
        <v>39002</v>
      </c>
      <c r="D266" s="7">
        <v>2811</v>
      </c>
      <c r="E266" s="8">
        <f>VLOOKUP(B266,T.productos!$A$1:$E$15,4,0)</f>
        <v>1.63</v>
      </c>
      <c r="F266" s="8">
        <f>VLOOKUP(B266,T.productos!$A$1:$E$15,5,0)</f>
        <v>1.42</v>
      </c>
      <c r="G266" s="9">
        <f t="shared" si="4"/>
        <v>0.12883435582822086</v>
      </c>
    </row>
    <row r="267" spans="1:7" x14ac:dyDescent="0.25">
      <c r="A267" s="4">
        <v>3</v>
      </c>
      <c r="B267" s="5">
        <v>1</v>
      </c>
      <c r="C267" s="6">
        <v>39986</v>
      </c>
      <c r="D267" s="7">
        <v>1120</v>
      </c>
      <c r="E267" s="8">
        <f>VLOOKUP(B267,T.productos!$A$1:$E$15,4,0)</f>
        <v>3.93</v>
      </c>
      <c r="F267" s="8">
        <f>VLOOKUP(B267,T.productos!$A$1:$E$15,5,0)</f>
        <v>3.4</v>
      </c>
      <c r="G267" s="9">
        <f t="shared" si="4"/>
        <v>0.13486005089058525</v>
      </c>
    </row>
    <row r="268" spans="1:7" x14ac:dyDescent="0.25">
      <c r="A268" s="4">
        <v>3</v>
      </c>
      <c r="B268" s="5">
        <v>9</v>
      </c>
      <c r="C268" s="6">
        <v>38320</v>
      </c>
      <c r="D268" s="7">
        <v>1633</v>
      </c>
      <c r="E268" s="8">
        <f>VLOOKUP(B268,T.productos!$A$1:$E$15,4,0)</f>
        <v>1.21</v>
      </c>
      <c r="F268" s="8">
        <f>VLOOKUP(B268,T.productos!$A$1:$E$15,5,0)</f>
        <v>0.36</v>
      </c>
      <c r="G268" s="9">
        <f t="shared" si="4"/>
        <v>0.7024793388429752</v>
      </c>
    </row>
    <row r="269" spans="1:7" x14ac:dyDescent="0.25">
      <c r="A269" s="4">
        <v>3</v>
      </c>
      <c r="B269" s="5">
        <v>8</v>
      </c>
      <c r="C269" s="6">
        <v>39630</v>
      </c>
      <c r="D269" s="7">
        <v>902</v>
      </c>
      <c r="E269" s="8">
        <f>VLOOKUP(B269,T.productos!$A$1:$E$15,4,0)</f>
        <v>3.63</v>
      </c>
      <c r="F269" s="8">
        <f>VLOOKUP(B269,T.productos!$A$1:$E$15,5,0)</f>
        <v>3.35</v>
      </c>
      <c r="G269" s="9">
        <f t="shared" si="4"/>
        <v>7.7134986225895319E-2</v>
      </c>
    </row>
    <row r="270" spans="1:7" x14ac:dyDescent="0.25">
      <c r="A270" s="4">
        <v>5</v>
      </c>
      <c r="B270" s="5">
        <v>1</v>
      </c>
      <c r="C270" s="6">
        <v>38643</v>
      </c>
      <c r="D270" s="7">
        <v>1145</v>
      </c>
      <c r="E270" s="8">
        <f>VLOOKUP(B270,T.productos!$A$1:$E$15,4,0)</f>
        <v>3.93</v>
      </c>
      <c r="F270" s="8">
        <f>VLOOKUP(B270,T.productos!$A$1:$E$15,5,0)</f>
        <v>3.4</v>
      </c>
      <c r="G270" s="9">
        <f t="shared" si="4"/>
        <v>0.13486005089058525</v>
      </c>
    </row>
    <row r="271" spans="1:7" x14ac:dyDescent="0.25">
      <c r="A271" s="4">
        <v>4</v>
      </c>
      <c r="B271" s="5">
        <v>10</v>
      </c>
      <c r="C271" s="6">
        <v>39725</v>
      </c>
      <c r="D271" s="7">
        <v>530</v>
      </c>
      <c r="E271" s="8">
        <f>VLOOKUP(B271,T.productos!$A$1:$E$15,4,0)</f>
        <v>0.61</v>
      </c>
      <c r="F271" s="8">
        <f>VLOOKUP(B271,T.productos!$A$1:$E$15,5,0)</f>
        <v>0.4</v>
      </c>
      <c r="G271" s="9">
        <f t="shared" si="4"/>
        <v>0.34426229508196721</v>
      </c>
    </row>
    <row r="272" spans="1:7" x14ac:dyDescent="0.25">
      <c r="A272" s="4">
        <v>4</v>
      </c>
      <c r="B272" s="5">
        <v>10</v>
      </c>
      <c r="C272" s="6">
        <v>39374</v>
      </c>
      <c r="D272" s="7">
        <v>1180</v>
      </c>
      <c r="E272" s="8">
        <f>VLOOKUP(B272,T.productos!$A$1:$E$15,4,0)</f>
        <v>0.61</v>
      </c>
      <c r="F272" s="8">
        <f>VLOOKUP(B272,T.productos!$A$1:$E$15,5,0)</f>
        <v>0.4</v>
      </c>
      <c r="G272" s="9">
        <f t="shared" si="4"/>
        <v>0.34426229508196721</v>
      </c>
    </row>
    <row r="273" spans="1:7" x14ac:dyDescent="0.25">
      <c r="A273" s="4">
        <v>3</v>
      </c>
      <c r="B273" s="5">
        <v>3</v>
      </c>
      <c r="C273" s="6">
        <v>39327</v>
      </c>
      <c r="D273" s="7">
        <v>2380</v>
      </c>
      <c r="E273" s="8">
        <f>VLOOKUP(B273,T.productos!$A$1:$E$15,4,0)</f>
        <v>1.94</v>
      </c>
      <c r="F273" s="8">
        <f>VLOOKUP(B273,T.productos!$A$1:$E$15,5,0)</f>
        <v>1.89</v>
      </c>
      <c r="G273" s="9">
        <f t="shared" si="4"/>
        <v>2.5773195876288658E-2</v>
      </c>
    </row>
    <row r="274" spans="1:7" x14ac:dyDescent="0.25">
      <c r="A274" s="4">
        <v>1</v>
      </c>
      <c r="B274" s="5">
        <v>1</v>
      </c>
      <c r="C274" s="6">
        <v>39303</v>
      </c>
      <c r="D274" s="7">
        <v>808</v>
      </c>
      <c r="E274" s="8">
        <f>VLOOKUP(B274,T.productos!$A$1:$E$15,4,0)</f>
        <v>3.93</v>
      </c>
      <c r="F274" s="8">
        <f>VLOOKUP(B274,T.productos!$A$1:$E$15,5,0)</f>
        <v>3.4</v>
      </c>
      <c r="G274" s="9">
        <f t="shared" si="4"/>
        <v>0.13486005089058525</v>
      </c>
    </row>
    <row r="275" spans="1:7" x14ac:dyDescent="0.25">
      <c r="A275" s="4">
        <v>3</v>
      </c>
      <c r="B275" s="5">
        <v>6</v>
      </c>
      <c r="C275" s="6">
        <v>39044</v>
      </c>
      <c r="D275" s="7">
        <v>831</v>
      </c>
      <c r="E275" s="8">
        <f>VLOOKUP(B275,T.productos!$A$1:$E$15,4,0)</f>
        <v>2.42</v>
      </c>
      <c r="F275" s="8">
        <f>VLOOKUP(B275,T.productos!$A$1:$E$15,5,0)</f>
        <v>2.2799999999999998</v>
      </c>
      <c r="G275" s="9">
        <f t="shared" si="4"/>
        <v>5.7851239669421489E-2</v>
      </c>
    </row>
    <row r="276" spans="1:7" x14ac:dyDescent="0.25">
      <c r="A276" s="4">
        <v>3</v>
      </c>
      <c r="B276" s="5">
        <v>5</v>
      </c>
      <c r="C276" s="6">
        <v>39314</v>
      </c>
      <c r="D276" s="7">
        <v>1232</v>
      </c>
      <c r="E276" s="8">
        <f>VLOOKUP(B276,T.productos!$A$1:$E$15,4,0)</f>
        <v>2.54</v>
      </c>
      <c r="F276" s="8">
        <f>VLOOKUP(B276,T.productos!$A$1:$E$15,5,0)</f>
        <v>2.2799999999999998</v>
      </c>
      <c r="G276" s="9">
        <f t="shared" si="4"/>
        <v>0.10236220472440945</v>
      </c>
    </row>
    <row r="277" spans="1:7" x14ac:dyDescent="0.25">
      <c r="A277" s="4">
        <v>1</v>
      </c>
      <c r="B277" s="5">
        <v>1</v>
      </c>
      <c r="C277" s="6">
        <v>38746</v>
      </c>
      <c r="D277" s="7">
        <v>1329</v>
      </c>
      <c r="E277" s="8">
        <f>VLOOKUP(B277,T.productos!$A$1:$E$15,4,0)</f>
        <v>3.93</v>
      </c>
      <c r="F277" s="8">
        <f>VLOOKUP(B277,T.productos!$A$1:$E$15,5,0)</f>
        <v>3.4</v>
      </c>
      <c r="G277" s="9">
        <f t="shared" si="4"/>
        <v>0.13486005089058525</v>
      </c>
    </row>
    <row r="278" spans="1:7" x14ac:dyDescent="0.25">
      <c r="A278" s="4">
        <v>3</v>
      </c>
      <c r="B278" s="5">
        <v>2</v>
      </c>
      <c r="C278" s="6">
        <v>38179</v>
      </c>
      <c r="D278" s="7">
        <v>2648</v>
      </c>
      <c r="E278" s="8">
        <f>VLOOKUP(B278,T.productos!$A$1:$E$15,4,0)</f>
        <v>1.63</v>
      </c>
      <c r="F278" s="8">
        <f>VLOOKUP(B278,T.productos!$A$1:$E$15,5,0)</f>
        <v>1.42</v>
      </c>
      <c r="G278" s="9">
        <f t="shared" si="4"/>
        <v>0.12883435582822086</v>
      </c>
    </row>
    <row r="279" spans="1:7" x14ac:dyDescent="0.25">
      <c r="A279" s="4">
        <v>5</v>
      </c>
      <c r="B279" s="5">
        <v>7</v>
      </c>
      <c r="C279" s="6">
        <v>38793</v>
      </c>
      <c r="D279" s="7">
        <v>1605</v>
      </c>
      <c r="E279" s="8">
        <f>VLOOKUP(B279,T.productos!$A$1:$E$15,4,0)</f>
        <v>0.97</v>
      </c>
      <c r="F279" s="8">
        <f>VLOOKUP(B279,T.productos!$A$1:$E$15,5,0)</f>
        <v>0.19</v>
      </c>
      <c r="G279" s="9">
        <f t="shared" si="4"/>
        <v>0.80412371134020622</v>
      </c>
    </row>
    <row r="280" spans="1:7" x14ac:dyDescent="0.25">
      <c r="A280" s="4">
        <v>3</v>
      </c>
      <c r="B280" s="5">
        <v>12</v>
      </c>
      <c r="C280" s="6">
        <v>38386</v>
      </c>
      <c r="D280" s="7">
        <v>2139</v>
      </c>
      <c r="E280" s="8">
        <f>VLOOKUP(B280,T.productos!$A$1:$E$15,4,0)</f>
        <v>2.42</v>
      </c>
      <c r="F280" s="8">
        <f>VLOOKUP(B280,T.productos!$A$1:$E$15,5,0)</f>
        <v>1.68</v>
      </c>
      <c r="G280" s="9">
        <f t="shared" si="4"/>
        <v>0.30578512396694213</v>
      </c>
    </row>
    <row r="281" spans="1:7" x14ac:dyDescent="0.25">
      <c r="A281" s="4">
        <v>4</v>
      </c>
      <c r="B281" s="5">
        <v>7</v>
      </c>
      <c r="C281" s="6">
        <v>39077</v>
      </c>
      <c r="D281" s="7">
        <v>864</v>
      </c>
      <c r="E281" s="8">
        <f>VLOOKUP(B281,T.productos!$A$1:$E$15,4,0)</f>
        <v>0.97</v>
      </c>
      <c r="F281" s="8">
        <f>VLOOKUP(B281,T.productos!$A$1:$E$15,5,0)</f>
        <v>0.19</v>
      </c>
      <c r="G281" s="9">
        <f t="shared" si="4"/>
        <v>0.80412371134020622</v>
      </c>
    </row>
    <row r="282" spans="1:7" x14ac:dyDescent="0.25">
      <c r="A282" s="4">
        <v>4</v>
      </c>
      <c r="B282" s="5">
        <v>6</v>
      </c>
      <c r="C282" s="6">
        <v>39978</v>
      </c>
      <c r="D282" s="7">
        <v>2858</v>
      </c>
      <c r="E282" s="8">
        <f>VLOOKUP(B282,T.productos!$A$1:$E$15,4,0)</f>
        <v>2.42</v>
      </c>
      <c r="F282" s="8">
        <f>VLOOKUP(B282,T.productos!$A$1:$E$15,5,0)</f>
        <v>2.2799999999999998</v>
      </c>
      <c r="G282" s="9">
        <f t="shared" si="4"/>
        <v>5.7851239669421489E-2</v>
      </c>
    </row>
    <row r="283" spans="1:7" x14ac:dyDescent="0.25">
      <c r="A283" s="4">
        <v>2</v>
      </c>
      <c r="B283" s="5">
        <v>6</v>
      </c>
      <c r="C283" s="6">
        <v>38740</v>
      </c>
      <c r="D283" s="7">
        <v>1698</v>
      </c>
      <c r="E283" s="8">
        <f>VLOOKUP(B283,T.productos!$A$1:$E$15,4,0)</f>
        <v>2.42</v>
      </c>
      <c r="F283" s="8">
        <f>VLOOKUP(B283,T.productos!$A$1:$E$15,5,0)</f>
        <v>2.2799999999999998</v>
      </c>
      <c r="G283" s="9">
        <f t="shared" si="4"/>
        <v>5.7851239669421489E-2</v>
      </c>
    </row>
    <row r="284" spans="1:7" x14ac:dyDescent="0.25">
      <c r="A284" s="4">
        <v>1</v>
      </c>
      <c r="B284" s="5">
        <v>13</v>
      </c>
      <c r="C284" s="6">
        <v>38715</v>
      </c>
      <c r="D284" s="7">
        <v>2510</v>
      </c>
      <c r="E284" s="8">
        <f>VLOOKUP(B284,T.productos!$A$1:$E$15,4,0)</f>
        <v>0.24</v>
      </c>
      <c r="F284" s="8">
        <f>VLOOKUP(B284,T.productos!$A$1:$E$15,5,0)</f>
        <v>0.12</v>
      </c>
      <c r="G284" s="9">
        <f t="shared" si="4"/>
        <v>0.5</v>
      </c>
    </row>
    <row r="285" spans="1:7" x14ac:dyDescent="0.25">
      <c r="A285" s="4">
        <v>2</v>
      </c>
      <c r="B285" s="5">
        <v>4</v>
      </c>
      <c r="C285" s="6">
        <v>38487</v>
      </c>
      <c r="D285" s="7">
        <v>2533</v>
      </c>
      <c r="E285" s="8">
        <f>VLOOKUP(B285,T.productos!$A$1:$E$15,4,0)</f>
        <v>0.61</v>
      </c>
      <c r="F285" s="8">
        <f>VLOOKUP(B285,T.productos!$A$1:$E$15,5,0)</f>
        <v>0.28999999999999998</v>
      </c>
      <c r="G285" s="9">
        <f t="shared" si="4"/>
        <v>0.52459016393442626</v>
      </c>
    </row>
    <row r="286" spans="1:7" x14ac:dyDescent="0.25">
      <c r="A286" s="4">
        <v>4</v>
      </c>
      <c r="B286" s="5">
        <v>14</v>
      </c>
      <c r="C286" s="6">
        <v>39405</v>
      </c>
      <c r="D286" s="7">
        <v>969</v>
      </c>
      <c r="E286" s="8">
        <f>VLOOKUP(B286,T.productos!$A$1:$E$15,4,0)</f>
        <v>3.63</v>
      </c>
      <c r="F286" s="8">
        <f>VLOOKUP(B286,T.productos!$A$1:$E$15,5,0)</f>
        <v>3.2</v>
      </c>
      <c r="G286" s="9">
        <f t="shared" si="4"/>
        <v>0.1184573002754821</v>
      </c>
    </row>
    <row r="287" spans="1:7" x14ac:dyDescent="0.25">
      <c r="A287" s="4">
        <v>3</v>
      </c>
      <c r="B287" s="5">
        <v>3</v>
      </c>
      <c r="C287" s="6">
        <v>39735</v>
      </c>
      <c r="D287" s="7">
        <v>1607</v>
      </c>
      <c r="E287" s="8">
        <f>VLOOKUP(B287,T.productos!$A$1:$E$15,4,0)</f>
        <v>1.94</v>
      </c>
      <c r="F287" s="8">
        <f>VLOOKUP(B287,T.productos!$A$1:$E$15,5,0)</f>
        <v>1.89</v>
      </c>
      <c r="G287" s="9">
        <f t="shared" si="4"/>
        <v>2.5773195876288658E-2</v>
      </c>
    </row>
    <row r="288" spans="1:7" x14ac:dyDescent="0.25">
      <c r="A288" s="4">
        <v>5</v>
      </c>
      <c r="B288" s="5">
        <v>9</v>
      </c>
      <c r="C288" s="6">
        <v>39725</v>
      </c>
      <c r="D288" s="7">
        <v>1965</v>
      </c>
      <c r="E288" s="8">
        <f>VLOOKUP(B288,T.productos!$A$1:$E$15,4,0)</f>
        <v>1.21</v>
      </c>
      <c r="F288" s="8">
        <f>VLOOKUP(B288,T.productos!$A$1:$E$15,5,0)</f>
        <v>0.36</v>
      </c>
      <c r="G288" s="9">
        <f t="shared" si="4"/>
        <v>0.7024793388429752</v>
      </c>
    </row>
    <row r="289" spans="1:7" x14ac:dyDescent="0.25">
      <c r="A289" s="4">
        <v>1</v>
      </c>
      <c r="B289" s="5">
        <v>8</v>
      </c>
      <c r="C289" s="6">
        <v>39156</v>
      </c>
      <c r="D289" s="7">
        <v>2436</v>
      </c>
      <c r="E289" s="8">
        <f>VLOOKUP(B289,T.productos!$A$1:$E$15,4,0)</f>
        <v>3.63</v>
      </c>
      <c r="F289" s="8">
        <f>VLOOKUP(B289,T.productos!$A$1:$E$15,5,0)</f>
        <v>3.35</v>
      </c>
      <c r="G289" s="9">
        <f t="shared" si="4"/>
        <v>7.7134986225895319E-2</v>
      </c>
    </row>
    <row r="290" spans="1:7" x14ac:dyDescent="0.25">
      <c r="A290" s="4">
        <v>2</v>
      </c>
      <c r="B290" s="5">
        <v>7</v>
      </c>
      <c r="C290" s="6">
        <v>38207</v>
      </c>
      <c r="D290" s="7">
        <v>1997</v>
      </c>
      <c r="E290" s="8">
        <f>VLOOKUP(B290,T.productos!$A$1:$E$15,4,0)</f>
        <v>0.97</v>
      </c>
      <c r="F290" s="8">
        <f>VLOOKUP(B290,T.productos!$A$1:$E$15,5,0)</f>
        <v>0.19</v>
      </c>
      <c r="G290" s="9">
        <f t="shared" si="4"/>
        <v>0.80412371134020622</v>
      </c>
    </row>
    <row r="291" spans="1:7" x14ac:dyDescent="0.25">
      <c r="A291" s="4">
        <v>5</v>
      </c>
      <c r="B291" s="5">
        <v>13</v>
      </c>
      <c r="C291" s="6">
        <v>38940</v>
      </c>
      <c r="D291" s="7">
        <v>2866</v>
      </c>
      <c r="E291" s="8">
        <f>VLOOKUP(B291,T.productos!$A$1:$E$15,4,0)</f>
        <v>0.24</v>
      </c>
      <c r="F291" s="8">
        <f>VLOOKUP(B291,T.productos!$A$1:$E$15,5,0)</f>
        <v>0.12</v>
      </c>
      <c r="G291" s="9">
        <f t="shared" si="4"/>
        <v>0.5</v>
      </c>
    </row>
    <row r="292" spans="1:7" x14ac:dyDescent="0.25">
      <c r="A292" s="4">
        <v>5</v>
      </c>
      <c r="B292" s="5">
        <v>12</v>
      </c>
      <c r="C292" s="6">
        <v>39455</v>
      </c>
      <c r="D292" s="7">
        <v>1628</v>
      </c>
      <c r="E292" s="8">
        <f>VLOOKUP(B292,T.productos!$A$1:$E$15,4,0)</f>
        <v>2.42</v>
      </c>
      <c r="F292" s="8">
        <f>VLOOKUP(B292,T.productos!$A$1:$E$15,5,0)</f>
        <v>1.68</v>
      </c>
      <c r="G292" s="9">
        <f t="shared" si="4"/>
        <v>0.30578512396694213</v>
      </c>
    </row>
    <row r="293" spans="1:7" x14ac:dyDescent="0.25">
      <c r="A293" s="4">
        <v>1</v>
      </c>
      <c r="B293" s="5">
        <v>3</v>
      </c>
      <c r="C293" s="6">
        <v>39477</v>
      </c>
      <c r="D293" s="7">
        <v>1070</v>
      </c>
      <c r="E293" s="8">
        <f>VLOOKUP(B293,T.productos!$A$1:$E$15,4,0)</f>
        <v>1.94</v>
      </c>
      <c r="F293" s="8">
        <f>VLOOKUP(B293,T.productos!$A$1:$E$15,5,0)</f>
        <v>1.89</v>
      </c>
      <c r="G293" s="9">
        <f t="shared" si="4"/>
        <v>2.5773195876288658E-2</v>
      </c>
    </row>
    <row r="294" spans="1:7" x14ac:dyDescent="0.25">
      <c r="A294" s="4">
        <v>1</v>
      </c>
      <c r="B294" s="5">
        <v>1</v>
      </c>
      <c r="C294" s="6">
        <v>38993</v>
      </c>
      <c r="D294" s="7">
        <v>708</v>
      </c>
      <c r="E294" s="8">
        <f>VLOOKUP(B294,T.productos!$A$1:$E$15,4,0)</f>
        <v>3.93</v>
      </c>
      <c r="F294" s="8">
        <f>VLOOKUP(B294,T.productos!$A$1:$E$15,5,0)</f>
        <v>3.4</v>
      </c>
      <c r="G294" s="9">
        <f t="shared" si="4"/>
        <v>0.13486005089058525</v>
      </c>
    </row>
    <row r="295" spans="1:7" x14ac:dyDescent="0.25">
      <c r="A295" s="4">
        <v>1</v>
      </c>
      <c r="B295" s="5">
        <v>13</v>
      </c>
      <c r="C295" s="6">
        <v>38656</v>
      </c>
      <c r="D295" s="7">
        <v>568</v>
      </c>
      <c r="E295" s="8">
        <f>VLOOKUP(B295,T.productos!$A$1:$E$15,4,0)</f>
        <v>0.24</v>
      </c>
      <c r="F295" s="8">
        <f>VLOOKUP(B295,T.productos!$A$1:$E$15,5,0)</f>
        <v>0.12</v>
      </c>
      <c r="G295" s="9">
        <f t="shared" si="4"/>
        <v>0.5</v>
      </c>
    </row>
    <row r="296" spans="1:7" x14ac:dyDescent="0.25">
      <c r="A296" s="4">
        <v>1</v>
      </c>
      <c r="B296" s="5">
        <v>11</v>
      </c>
      <c r="C296" s="6">
        <v>38208</v>
      </c>
      <c r="D296" s="7">
        <v>308</v>
      </c>
      <c r="E296" s="8">
        <f>VLOOKUP(B296,T.productos!$A$1:$E$15,4,0)</f>
        <v>1.21</v>
      </c>
      <c r="F296" s="8">
        <f>VLOOKUP(B296,T.productos!$A$1:$E$15,5,0)</f>
        <v>0.72</v>
      </c>
      <c r="G296" s="9">
        <f t="shared" si="4"/>
        <v>0.4049586776859504</v>
      </c>
    </row>
    <row r="297" spans="1:7" x14ac:dyDescent="0.25">
      <c r="A297" s="4">
        <v>5</v>
      </c>
      <c r="B297" s="5">
        <v>3</v>
      </c>
      <c r="C297" s="6">
        <v>39312</v>
      </c>
      <c r="D297" s="7">
        <v>2135</v>
      </c>
      <c r="E297" s="8">
        <f>VLOOKUP(B297,T.productos!$A$1:$E$15,4,0)</f>
        <v>1.94</v>
      </c>
      <c r="F297" s="8">
        <f>VLOOKUP(B297,T.productos!$A$1:$E$15,5,0)</f>
        <v>1.89</v>
      </c>
      <c r="G297" s="9">
        <f t="shared" si="4"/>
        <v>2.5773195876288658E-2</v>
      </c>
    </row>
    <row r="298" spans="1:7" x14ac:dyDescent="0.25">
      <c r="A298" s="4">
        <v>5</v>
      </c>
      <c r="B298" s="5">
        <v>2</v>
      </c>
      <c r="C298" s="6">
        <v>38767</v>
      </c>
      <c r="D298" s="7">
        <v>1437</v>
      </c>
      <c r="E298" s="8">
        <f>VLOOKUP(B298,T.productos!$A$1:$E$15,4,0)</f>
        <v>1.63</v>
      </c>
      <c r="F298" s="8">
        <f>VLOOKUP(B298,T.productos!$A$1:$E$15,5,0)</f>
        <v>1.42</v>
      </c>
      <c r="G298" s="9">
        <f t="shared" si="4"/>
        <v>0.12883435582822086</v>
      </c>
    </row>
    <row r="299" spans="1:7" x14ac:dyDescent="0.25">
      <c r="A299" s="4">
        <v>4</v>
      </c>
      <c r="B299" s="5">
        <v>5</v>
      </c>
      <c r="C299" s="6">
        <v>38502</v>
      </c>
      <c r="D299" s="7">
        <v>1567</v>
      </c>
      <c r="E299" s="8">
        <f>VLOOKUP(B299,T.productos!$A$1:$E$15,4,0)</f>
        <v>2.54</v>
      </c>
      <c r="F299" s="8">
        <f>VLOOKUP(B299,T.productos!$A$1:$E$15,5,0)</f>
        <v>2.2799999999999998</v>
      </c>
      <c r="G299" s="9">
        <f t="shared" si="4"/>
        <v>0.10236220472440945</v>
      </c>
    </row>
    <row r="300" spans="1:7" x14ac:dyDescent="0.25">
      <c r="A300" s="4">
        <v>3</v>
      </c>
      <c r="B300" s="5">
        <v>11</v>
      </c>
      <c r="C300" s="6">
        <v>39016</v>
      </c>
      <c r="D300" s="7">
        <v>2716</v>
      </c>
      <c r="E300" s="8">
        <f>VLOOKUP(B300,T.productos!$A$1:$E$15,4,0)</f>
        <v>1.21</v>
      </c>
      <c r="F300" s="8">
        <f>VLOOKUP(B300,T.productos!$A$1:$E$15,5,0)</f>
        <v>0.72</v>
      </c>
      <c r="G300" s="9">
        <f t="shared" si="4"/>
        <v>0.4049586776859504</v>
      </c>
    </row>
    <row r="301" spans="1:7" x14ac:dyDescent="0.25">
      <c r="A301" s="4">
        <v>5</v>
      </c>
      <c r="B301" s="5">
        <v>10</v>
      </c>
      <c r="C301" s="6">
        <v>39846</v>
      </c>
      <c r="D301" s="7">
        <v>2798</v>
      </c>
      <c r="E301" s="8">
        <f>VLOOKUP(B301,T.productos!$A$1:$E$15,4,0)</f>
        <v>0.61</v>
      </c>
      <c r="F301" s="8">
        <f>VLOOKUP(B301,T.productos!$A$1:$E$15,5,0)</f>
        <v>0.4</v>
      </c>
      <c r="G301" s="9">
        <f t="shared" si="4"/>
        <v>0.34426229508196721</v>
      </c>
    </row>
    <row r="302" spans="1:7" x14ac:dyDescent="0.25">
      <c r="A302" s="4">
        <v>5</v>
      </c>
      <c r="B302" s="5">
        <v>3</v>
      </c>
      <c r="C302" s="6">
        <v>38590</v>
      </c>
      <c r="D302" s="7">
        <v>865</v>
      </c>
      <c r="E302" s="8">
        <f>VLOOKUP(B302,T.productos!$A$1:$E$15,4,0)</f>
        <v>1.94</v>
      </c>
      <c r="F302" s="8">
        <f>VLOOKUP(B302,T.productos!$A$1:$E$15,5,0)</f>
        <v>1.89</v>
      </c>
      <c r="G302" s="9">
        <f t="shared" si="4"/>
        <v>2.5773195876288658E-2</v>
      </c>
    </row>
    <row r="303" spans="1:7" x14ac:dyDescent="0.25">
      <c r="A303" s="4">
        <v>4</v>
      </c>
      <c r="B303" s="5">
        <v>6</v>
      </c>
      <c r="C303" s="6">
        <v>39769</v>
      </c>
      <c r="D303" s="7">
        <v>2309</v>
      </c>
      <c r="E303" s="8">
        <f>VLOOKUP(B303,T.productos!$A$1:$E$15,4,0)</f>
        <v>2.42</v>
      </c>
      <c r="F303" s="8">
        <f>VLOOKUP(B303,T.productos!$A$1:$E$15,5,0)</f>
        <v>2.2799999999999998</v>
      </c>
      <c r="G303" s="9">
        <f t="shared" si="4"/>
        <v>5.7851239669421489E-2</v>
      </c>
    </row>
    <row r="304" spans="1:7" x14ac:dyDescent="0.25">
      <c r="A304" s="4">
        <v>3</v>
      </c>
      <c r="B304" s="5">
        <v>5</v>
      </c>
      <c r="C304" s="6">
        <v>38248</v>
      </c>
      <c r="D304" s="7">
        <v>988</v>
      </c>
      <c r="E304" s="8">
        <f>VLOOKUP(B304,T.productos!$A$1:$E$15,4,0)</f>
        <v>2.54</v>
      </c>
      <c r="F304" s="8">
        <f>VLOOKUP(B304,T.productos!$A$1:$E$15,5,0)</f>
        <v>2.2799999999999998</v>
      </c>
      <c r="G304" s="9">
        <f t="shared" si="4"/>
        <v>0.10236220472440945</v>
      </c>
    </row>
    <row r="305" spans="1:7" x14ac:dyDescent="0.25">
      <c r="A305" s="4">
        <v>4</v>
      </c>
      <c r="B305" s="5">
        <v>5</v>
      </c>
      <c r="C305" s="6">
        <v>39760</v>
      </c>
      <c r="D305" s="7">
        <v>2352</v>
      </c>
      <c r="E305" s="8">
        <f>VLOOKUP(B305,T.productos!$A$1:$E$15,4,0)</f>
        <v>2.54</v>
      </c>
      <c r="F305" s="8">
        <f>VLOOKUP(B305,T.productos!$A$1:$E$15,5,0)</f>
        <v>2.2799999999999998</v>
      </c>
      <c r="G305" s="9">
        <f t="shared" si="4"/>
        <v>0.10236220472440945</v>
      </c>
    </row>
    <row r="306" spans="1:7" x14ac:dyDescent="0.25">
      <c r="A306" s="4">
        <v>1</v>
      </c>
      <c r="B306" s="5">
        <v>14</v>
      </c>
      <c r="C306" s="6">
        <v>38631</v>
      </c>
      <c r="D306" s="7">
        <v>893</v>
      </c>
      <c r="E306" s="8">
        <f>VLOOKUP(B306,T.productos!$A$1:$E$15,4,0)</f>
        <v>3.63</v>
      </c>
      <c r="F306" s="8">
        <f>VLOOKUP(B306,T.productos!$A$1:$E$15,5,0)</f>
        <v>3.2</v>
      </c>
      <c r="G306" s="9">
        <f t="shared" si="4"/>
        <v>0.1184573002754821</v>
      </c>
    </row>
    <row r="307" spans="1:7" x14ac:dyDescent="0.25">
      <c r="A307" s="4">
        <v>1</v>
      </c>
      <c r="B307" s="5">
        <v>12</v>
      </c>
      <c r="C307" s="6">
        <v>39358</v>
      </c>
      <c r="D307" s="7">
        <v>430</v>
      </c>
      <c r="E307" s="8">
        <f>VLOOKUP(B307,T.productos!$A$1:$E$15,4,0)</f>
        <v>2.42</v>
      </c>
      <c r="F307" s="8">
        <f>VLOOKUP(B307,T.productos!$A$1:$E$15,5,0)</f>
        <v>1.68</v>
      </c>
      <c r="G307" s="9">
        <f t="shared" si="4"/>
        <v>0.30578512396694213</v>
      </c>
    </row>
    <row r="308" spans="1:7" x14ac:dyDescent="0.25">
      <c r="A308" s="4">
        <v>5</v>
      </c>
      <c r="B308" s="5">
        <v>1</v>
      </c>
      <c r="C308" s="6">
        <v>38925</v>
      </c>
      <c r="D308" s="7">
        <v>2363</v>
      </c>
      <c r="E308" s="8">
        <f>VLOOKUP(B308,T.productos!$A$1:$E$15,4,0)</f>
        <v>3.93</v>
      </c>
      <c r="F308" s="8">
        <f>VLOOKUP(B308,T.productos!$A$1:$E$15,5,0)</f>
        <v>3.4</v>
      </c>
      <c r="G308" s="9">
        <f t="shared" si="4"/>
        <v>0.13486005089058525</v>
      </c>
    </row>
    <row r="309" spans="1:7" x14ac:dyDescent="0.25">
      <c r="A309" s="4">
        <v>1</v>
      </c>
      <c r="B309" s="5">
        <v>3</v>
      </c>
      <c r="C309" s="6">
        <v>39755</v>
      </c>
      <c r="D309" s="7">
        <v>2289</v>
      </c>
      <c r="E309" s="8">
        <f>VLOOKUP(B309,T.productos!$A$1:$E$15,4,0)</f>
        <v>1.94</v>
      </c>
      <c r="F309" s="8">
        <f>VLOOKUP(B309,T.productos!$A$1:$E$15,5,0)</f>
        <v>1.89</v>
      </c>
      <c r="G309" s="9">
        <f t="shared" si="4"/>
        <v>2.5773195876288658E-2</v>
      </c>
    </row>
    <row r="310" spans="1:7" x14ac:dyDescent="0.25">
      <c r="A310" s="4">
        <v>4</v>
      </c>
      <c r="B310" s="5">
        <v>12</v>
      </c>
      <c r="C310" s="6">
        <v>39193</v>
      </c>
      <c r="D310" s="7">
        <v>2435</v>
      </c>
      <c r="E310" s="8">
        <f>VLOOKUP(B310,T.productos!$A$1:$E$15,4,0)</f>
        <v>2.42</v>
      </c>
      <c r="F310" s="8">
        <f>VLOOKUP(B310,T.productos!$A$1:$E$15,5,0)</f>
        <v>1.68</v>
      </c>
      <c r="G310" s="9">
        <f t="shared" si="4"/>
        <v>0.30578512396694213</v>
      </c>
    </row>
    <row r="311" spans="1:7" x14ac:dyDescent="0.25">
      <c r="A311" s="4">
        <v>2</v>
      </c>
      <c r="B311" s="5">
        <v>9</v>
      </c>
      <c r="C311" s="6">
        <v>38708</v>
      </c>
      <c r="D311" s="7">
        <v>2236</v>
      </c>
      <c r="E311" s="8">
        <f>VLOOKUP(B311,T.productos!$A$1:$E$15,4,0)</f>
        <v>1.21</v>
      </c>
      <c r="F311" s="8">
        <f>VLOOKUP(B311,T.productos!$A$1:$E$15,5,0)</f>
        <v>0.36</v>
      </c>
      <c r="G311" s="9">
        <f t="shared" si="4"/>
        <v>0.7024793388429752</v>
      </c>
    </row>
    <row r="312" spans="1:7" x14ac:dyDescent="0.25">
      <c r="A312" s="4">
        <v>3</v>
      </c>
      <c r="B312" s="5">
        <v>8</v>
      </c>
      <c r="C312" s="6">
        <v>38285</v>
      </c>
      <c r="D312" s="7">
        <v>2677</v>
      </c>
      <c r="E312" s="8">
        <f>VLOOKUP(B312,T.productos!$A$1:$E$15,4,0)</f>
        <v>3.63</v>
      </c>
      <c r="F312" s="8">
        <f>VLOOKUP(B312,T.productos!$A$1:$E$15,5,0)</f>
        <v>3.35</v>
      </c>
      <c r="G312" s="9">
        <f t="shared" si="4"/>
        <v>7.7134986225895319E-2</v>
      </c>
    </row>
    <row r="313" spans="1:7" x14ac:dyDescent="0.25">
      <c r="A313" s="4">
        <v>2</v>
      </c>
      <c r="B313" s="5">
        <v>1</v>
      </c>
      <c r="C313" s="6">
        <v>39319</v>
      </c>
      <c r="D313" s="7">
        <v>2788</v>
      </c>
      <c r="E313" s="8">
        <f>VLOOKUP(B313,T.productos!$A$1:$E$15,4,0)</f>
        <v>3.93</v>
      </c>
      <c r="F313" s="8">
        <f>VLOOKUP(B313,T.productos!$A$1:$E$15,5,0)</f>
        <v>3.4</v>
      </c>
      <c r="G313" s="9">
        <f t="shared" si="4"/>
        <v>0.13486005089058525</v>
      </c>
    </row>
    <row r="314" spans="1:7" x14ac:dyDescent="0.25">
      <c r="A314" s="4">
        <v>4</v>
      </c>
      <c r="B314" s="5">
        <v>5</v>
      </c>
      <c r="C314" s="6">
        <v>38978</v>
      </c>
      <c r="D314" s="7">
        <v>1688</v>
      </c>
      <c r="E314" s="8">
        <f>VLOOKUP(B314,T.productos!$A$1:$E$15,4,0)</f>
        <v>2.54</v>
      </c>
      <c r="F314" s="8">
        <f>VLOOKUP(B314,T.productos!$A$1:$E$15,5,0)</f>
        <v>2.2799999999999998</v>
      </c>
      <c r="G314" s="9">
        <f t="shared" si="4"/>
        <v>0.10236220472440945</v>
      </c>
    </row>
    <row r="315" spans="1:7" x14ac:dyDescent="0.25">
      <c r="A315" s="4">
        <v>2</v>
      </c>
      <c r="B315" s="5">
        <v>8</v>
      </c>
      <c r="C315" s="6">
        <v>38453</v>
      </c>
      <c r="D315" s="7">
        <v>2800</v>
      </c>
      <c r="E315" s="8">
        <f>VLOOKUP(B315,T.productos!$A$1:$E$15,4,0)</f>
        <v>3.63</v>
      </c>
      <c r="F315" s="8">
        <f>VLOOKUP(B315,T.productos!$A$1:$E$15,5,0)</f>
        <v>3.35</v>
      </c>
      <c r="G315" s="9">
        <f t="shared" si="4"/>
        <v>7.7134986225895319E-2</v>
      </c>
    </row>
    <row r="316" spans="1:7" x14ac:dyDescent="0.25">
      <c r="A316" s="4">
        <v>1</v>
      </c>
      <c r="B316" s="5">
        <v>8</v>
      </c>
      <c r="C316" s="6">
        <v>39473</v>
      </c>
      <c r="D316" s="7">
        <v>1944</v>
      </c>
      <c r="E316" s="8">
        <f>VLOOKUP(B316,T.productos!$A$1:$E$15,4,0)</f>
        <v>3.63</v>
      </c>
      <c r="F316" s="8">
        <f>VLOOKUP(B316,T.productos!$A$1:$E$15,5,0)</f>
        <v>3.35</v>
      </c>
      <c r="G316" s="9">
        <f t="shared" si="4"/>
        <v>7.7134986225895319E-2</v>
      </c>
    </row>
    <row r="317" spans="1:7" x14ac:dyDescent="0.25">
      <c r="A317" s="4">
        <v>3</v>
      </c>
      <c r="B317" s="5">
        <v>8</v>
      </c>
      <c r="C317" s="6">
        <v>39624</v>
      </c>
      <c r="D317" s="7">
        <v>477</v>
      </c>
      <c r="E317" s="8">
        <f>VLOOKUP(B317,T.productos!$A$1:$E$15,4,0)</f>
        <v>3.63</v>
      </c>
      <c r="F317" s="8">
        <f>VLOOKUP(B317,T.productos!$A$1:$E$15,5,0)</f>
        <v>3.35</v>
      </c>
      <c r="G317" s="9">
        <f t="shared" si="4"/>
        <v>7.7134986225895319E-2</v>
      </c>
    </row>
    <row r="318" spans="1:7" x14ac:dyDescent="0.25">
      <c r="A318" s="4">
        <v>1</v>
      </c>
      <c r="B318" s="5">
        <v>8</v>
      </c>
      <c r="C318" s="6">
        <v>39590</v>
      </c>
      <c r="D318" s="7">
        <v>1234</v>
      </c>
      <c r="E318" s="8">
        <f>VLOOKUP(B318,T.productos!$A$1:$E$15,4,0)</f>
        <v>3.63</v>
      </c>
      <c r="F318" s="8">
        <f>VLOOKUP(B318,T.productos!$A$1:$E$15,5,0)</f>
        <v>3.35</v>
      </c>
      <c r="G318" s="9">
        <f t="shared" si="4"/>
        <v>7.7134986225895319E-2</v>
      </c>
    </row>
    <row r="319" spans="1:7" x14ac:dyDescent="0.25">
      <c r="A319" s="4">
        <v>1</v>
      </c>
      <c r="B319" s="5">
        <v>7</v>
      </c>
      <c r="C319" s="6">
        <v>38536</v>
      </c>
      <c r="D319" s="7">
        <v>1732</v>
      </c>
      <c r="E319" s="8">
        <f>VLOOKUP(B319,T.productos!$A$1:$E$15,4,0)</f>
        <v>0.97</v>
      </c>
      <c r="F319" s="8">
        <f>VLOOKUP(B319,T.productos!$A$1:$E$15,5,0)</f>
        <v>0.19</v>
      </c>
      <c r="G319" s="9">
        <f t="shared" si="4"/>
        <v>0.80412371134020622</v>
      </c>
    </row>
    <row r="320" spans="1:7" x14ac:dyDescent="0.25">
      <c r="A320" s="4">
        <v>3</v>
      </c>
      <c r="B320" s="5">
        <v>14</v>
      </c>
      <c r="C320" s="6">
        <v>38307</v>
      </c>
      <c r="D320" s="7">
        <v>2746</v>
      </c>
      <c r="E320" s="8">
        <f>VLOOKUP(B320,T.productos!$A$1:$E$15,4,0)</f>
        <v>3.63</v>
      </c>
      <c r="F320" s="8">
        <f>VLOOKUP(B320,T.productos!$A$1:$E$15,5,0)</f>
        <v>3.2</v>
      </c>
      <c r="G320" s="9">
        <f t="shared" si="4"/>
        <v>0.1184573002754821</v>
      </c>
    </row>
    <row r="321" spans="1:7" x14ac:dyDescent="0.25">
      <c r="A321" s="4">
        <v>3</v>
      </c>
      <c r="B321" s="5">
        <v>2</v>
      </c>
      <c r="C321" s="6">
        <v>39198</v>
      </c>
      <c r="D321" s="7">
        <v>682</v>
      </c>
      <c r="E321" s="8">
        <f>VLOOKUP(B321,T.productos!$A$1:$E$15,4,0)</f>
        <v>1.63</v>
      </c>
      <c r="F321" s="8">
        <f>VLOOKUP(B321,T.productos!$A$1:$E$15,5,0)</f>
        <v>1.42</v>
      </c>
      <c r="G321" s="9">
        <f t="shared" si="4"/>
        <v>0.12883435582822086</v>
      </c>
    </row>
    <row r="322" spans="1:7" x14ac:dyDescent="0.25">
      <c r="A322" s="4">
        <v>2</v>
      </c>
      <c r="B322" s="5">
        <v>6</v>
      </c>
      <c r="C322" s="6">
        <v>39794</v>
      </c>
      <c r="D322" s="7">
        <v>2712</v>
      </c>
      <c r="E322" s="8">
        <f>VLOOKUP(B322,T.productos!$A$1:$E$15,4,0)</f>
        <v>2.42</v>
      </c>
      <c r="F322" s="8">
        <f>VLOOKUP(B322,T.productos!$A$1:$E$15,5,0)</f>
        <v>2.2799999999999998</v>
      </c>
      <c r="G322" s="9">
        <f t="shared" ref="G322:G385" si="5">margen(D322,E322,F322)</f>
        <v>5.7851239669421489E-2</v>
      </c>
    </row>
    <row r="323" spans="1:7" x14ac:dyDescent="0.25">
      <c r="A323" s="4">
        <v>4</v>
      </c>
      <c r="B323" s="5">
        <v>14</v>
      </c>
      <c r="C323" s="6">
        <v>39937</v>
      </c>
      <c r="D323" s="7">
        <v>2582</v>
      </c>
      <c r="E323" s="8">
        <f>VLOOKUP(B323,T.productos!$A$1:$E$15,4,0)</f>
        <v>3.63</v>
      </c>
      <c r="F323" s="8">
        <f>VLOOKUP(B323,T.productos!$A$1:$E$15,5,0)</f>
        <v>3.2</v>
      </c>
      <c r="G323" s="9">
        <f t="shared" si="5"/>
        <v>0.1184573002754821</v>
      </c>
    </row>
    <row r="324" spans="1:7" x14ac:dyDescent="0.25">
      <c r="A324" s="4">
        <v>1</v>
      </c>
      <c r="B324" s="5">
        <v>5</v>
      </c>
      <c r="C324" s="6">
        <v>38584</v>
      </c>
      <c r="D324" s="7">
        <v>827</v>
      </c>
      <c r="E324" s="8">
        <f>VLOOKUP(B324,T.productos!$A$1:$E$15,4,0)</f>
        <v>2.54</v>
      </c>
      <c r="F324" s="8">
        <f>VLOOKUP(B324,T.productos!$A$1:$E$15,5,0)</f>
        <v>2.2799999999999998</v>
      </c>
      <c r="G324" s="9">
        <f t="shared" si="5"/>
        <v>0.10236220472440945</v>
      </c>
    </row>
    <row r="325" spans="1:7" x14ac:dyDescent="0.25">
      <c r="A325" s="4">
        <v>2</v>
      </c>
      <c r="B325" s="5">
        <v>1</v>
      </c>
      <c r="C325" s="6">
        <v>38247</v>
      </c>
      <c r="D325" s="7">
        <v>1003</v>
      </c>
      <c r="E325" s="8">
        <f>VLOOKUP(B325,T.productos!$A$1:$E$15,4,0)</f>
        <v>3.93</v>
      </c>
      <c r="F325" s="8">
        <f>VLOOKUP(B325,T.productos!$A$1:$E$15,5,0)</f>
        <v>3.4</v>
      </c>
      <c r="G325" s="9">
        <f t="shared" si="5"/>
        <v>0.13486005089058525</v>
      </c>
    </row>
    <row r="326" spans="1:7" x14ac:dyDescent="0.25">
      <c r="A326" s="4">
        <v>3</v>
      </c>
      <c r="B326" s="5">
        <v>8</v>
      </c>
      <c r="C326" s="6">
        <v>38266</v>
      </c>
      <c r="D326" s="7">
        <v>450</v>
      </c>
      <c r="E326" s="8">
        <f>VLOOKUP(B326,T.productos!$A$1:$E$15,4,0)</f>
        <v>3.63</v>
      </c>
      <c r="F326" s="8">
        <f>VLOOKUP(B326,T.productos!$A$1:$E$15,5,0)</f>
        <v>3.35</v>
      </c>
      <c r="G326" s="9">
        <f t="shared" si="5"/>
        <v>7.7134986225895319E-2</v>
      </c>
    </row>
    <row r="327" spans="1:7" x14ac:dyDescent="0.25">
      <c r="A327" s="4">
        <v>5</v>
      </c>
      <c r="B327" s="5">
        <v>8</v>
      </c>
      <c r="C327" s="6">
        <v>39108</v>
      </c>
      <c r="D327" s="7">
        <v>2545</v>
      </c>
      <c r="E327" s="8">
        <f>VLOOKUP(B327,T.productos!$A$1:$E$15,4,0)</f>
        <v>3.63</v>
      </c>
      <c r="F327" s="8">
        <f>VLOOKUP(B327,T.productos!$A$1:$E$15,5,0)</f>
        <v>3.35</v>
      </c>
      <c r="G327" s="9">
        <f t="shared" si="5"/>
        <v>7.7134986225895319E-2</v>
      </c>
    </row>
    <row r="328" spans="1:7" x14ac:dyDescent="0.25">
      <c r="A328" s="4">
        <v>2</v>
      </c>
      <c r="B328" s="5">
        <v>11</v>
      </c>
      <c r="C328" s="6">
        <v>38268</v>
      </c>
      <c r="D328" s="7">
        <v>2988</v>
      </c>
      <c r="E328" s="8">
        <f>VLOOKUP(B328,T.productos!$A$1:$E$15,4,0)</f>
        <v>1.21</v>
      </c>
      <c r="F328" s="8">
        <f>VLOOKUP(B328,T.productos!$A$1:$E$15,5,0)</f>
        <v>0.72</v>
      </c>
      <c r="G328" s="9">
        <f t="shared" si="5"/>
        <v>0.4049586776859504</v>
      </c>
    </row>
    <row r="329" spans="1:7" x14ac:dyDescent="0.25">
      <c r="A329" s="4">
        <v>2</v>
      </c>
      <c r="B329" s="5">
        <v>8</v>
      </c>
      <c r="C329" s="6">
        <v>38458</v>
      </c>
      <c r="D329" s="7">
        <v>642</v>
      </c>
      <c r="E329" s="8">
        <f>VLOOKUP(B329,T.productos!$A$1:$E$15,4,0)</f>
        <v>3.63</v>
      </c>
      <c r="F329" s="8">
        <f>VLOOKUP(B329,T.productos!$A$1:$E$15,5,0)</f>
        <v>3.35</v>
      </c>
      <c r="G329" s="9">
        <f t="shared" si="5"/>
        <v>7.7134986225895319E-2</v>
      </c>
    </row>
    <row r="330" spans="1:7" x14ac:dyDescent="0.25">
      <c r="A330" s="4">
        <v>1</v>
      </c>
      <c r="B330" s="5">
        <v>5</v>
      </c>
      <c r="C330" s="6">
        <v>38276</v>
      </c>
      <c r="D330" s="7">
        <v>1055</v>
      </c>
      <c r="E330" s="8">
        <f>VLOOKUP(B330,T.productos!$A$1:$E$15,4,0)</f>
        <v>2.54</v>
      </c>
      <c r="F330" s="8">
        <f>VLOOKUP(B330,T.productos!$A$1:$E$15,5,0)</f>
        <v>2.2799999999999998</v>
      </c>
      <c r="G330" s="9">
        <f t="shared" si="5"/>
        <v>0.10236220472440945</v>
      </c>
    </row>
    <row r="331" spans="1:7" x14ac:dyDescent="0.25">
      <c r="A331" s="4">
        <v>4</v>
      </c>
      <c r="B331" s="5">
        <v>11</v>
      </c>
      <c r="C331" s="6">
        <v>38725</v>
      </c>
      <c r="D331" s="7">
        <v>1739</v>
      </c>
      <c r="E331" s="8">
        <f>VLOOKUP(B331,T.productos!$A$1:$E$15,4,0)</f>
        <v>1.21</v>
      </c>
      <c r="F331" s="8">
        <f>VLOOKUP(B331,T.productos!$A$1:$E$15,5,0)</f>
        <v>0.72</v>
      </c>
      <c r="G331" s="9">
        <f t="shared" si="5"/>
        <v>0.4049586776859504</v>
      </c>
    </row>
    <row r="332" spans="1:7" x14ac:dyDescent="0.25">
      <c r="A332" s="4">
        <v>3</v>
      </c>
      <c r="B332" s="5">
        <v>14</v>
      </c>
      <c r="C332" s="6">
        <v>38145</v>
      </c>
      <c r="D332" s="7">
        <v>2251</v>
      </c>
      <c r="E332" s="8">
        <f>VLOOKUP(B332,T.productos!$A$1:$E$15,4,0)</f>
        <v>3.63</v>
      </c>
      <c r="F332" s="8">
        <f>VLOOKUP(B332,T.productos!$A$1:$E$15,5,0)</f>
        <v>3.2</v>
      </c>
      <c r="G332" s="9">
        <f t="shared" si="5"/>
        <v>0.1184573002754821</v>
      </c>
    </row>
    <row r="333" spans="1:7" x14ac:dyDescent="0.25">
      <c r="A333" s="4">
        <v>4</v>
      </c>
      <c r="B333" s="5">
        <v>4</v>
      </c>
      <c r="C333" s="6">
        <v>38168</v>
      </c>
      <c r="D333" s="7">
        <v>2941</v>
      </c>
      <c r="E333" s="8">
        <f>VLOOKUP(B333,T.productos!$A$1:$E$15,4,0)</f>
        <v>0.61</v>
      </c>
      <c r="F333" s="8">
        <f>VLOOKUP(B333,T.productos!$A$1:$E$15,5,0)</f>
        <v>0.28999999999999998</v>
      </c>
      <c r="G333" s="9">
        <f t="shared" si="5"/>
        <v>0.52459016393442626</v>
      </c>
    </row>
    <row r="334" spans="1:7" x14ac:dyDescent="0.25">
      <c r="A334" s="4">
        <v>1</v>
      </c>
      <c r="B334" s="5">
        <v>8</v>
      </c>
      <c r="C334" s="6">
        <v>39979</v>
      </c>
      <c r="D334" s="7">
        <v>631</v>
      </c>
      <c r="E334" s="8">
        <f>VLOOKUP(B334,T.productos!$A$1:$E$15,4,0)</f>
        <v>3.63</v>
      </c>
      <c r="F334" s="8">
        <f>VLOOKUP(B334,T.productos!$A$1:$E$15,5,0)</f>
        <v>3.35</v>
      </c>
      <c r="G334" s="9">
        <f t="shared" si="5"/>
        <v>7.7134986225895319E-2</v>
      </c>
    </row>
    <row r="335" spans="1:7" x14ac:dyDescent="0.25">
      <c r="A335" s="4">
        <v>1</v>
      </c>
      <c r="B335" s="5">
        <v>5</v>
      </c>
      <c r="C335" s="6">
        <v>39232</v>
      </c>
      <c r="D335" s="7">
        <v>668</v>
      </c>
      <c r="E335" s="8">
        <f>VLOOKUP(B335,T.productos!$A$1:$E$15,4,0)</f>
        <v>2.54</v>
      </c>
      <c r="F335" s="8">
        <f>VLOOKUP(B335,T.productos!$A$1:$E$15,5,0)</f>
        <v>2.2799999999999998</v>
      </c>
      <c r="G335" s="9">
        <f t="shared" si="5"/>
        <v>0.10236220472440945</v>
      </c>
    </row>
    <row r="336" spans="1:7" x14ac:dyDescent="0.25">
      <c r="A336" s="4">
        <v>2</v>
      </c>
      <c r="B336" s="5">
        <v>7</v>
      </c>
      <c r="C336" s="6">
        <v>39207</v>
      </c>
      <c r="D336" s="7">
        <v>1361</v>
      </c>
      <c r="E336" s="8">
        <f>VLOOKUP(B336,T.productos!$A$1:$E$15,4,0)</f>
        <v>0.97</v>
      </c>
      <c r="F336" s="8">
        <f>VLOOKUP(B336,T.productos!$A$1:$E$15,5,0)</f>
        <v>0.19</v>
      </c>
      <c r="G336" s="9">
        <f t="shared" si="5"/>
        <v>0.80412371134020622</v>
      </c>
    </row>
    <row r="337" spans="1:7" x14ac:dyDescent="0.25">
      <c r="A337" s="4">
        <v>4</v>
      </c>
      <c r="B337" s="5">
        <v>14</v>
      </c>
      <c r="C337" s="6">
        <v>38273</v>
      </c>
      <c r="D337" s="7">
        <v>1551</v>
      </c>
      <c r="E337" s="8">
        <f>VLOOKUP(B337,T.productos!$A$1:$E$15,4,0)</f>
        <v>3.63</v>
      </c>
      <c r="F337" s="8">
        <f>VLOOKUP(B337,T.productos!$A$1:$E$15,5,0)</f>
        <v>3.2</v>
      </c>
      <c r="G337" s="9">
        <f t="shared" si="5"/>
        <v>0.1184573002754821</v>
      </c>
    </row>
    <row r="338" spans="1:7" x14ac:dyDescent="0.25">
      <c r="A338" s="4">
        <v>1</v>
      </c>
      <c r="B338" s="5">
        <v>10</v>
      </c>
      <c r="C338" s="6">
        <v>39283</v>
      </c>
      <c r="D338" s="7">
        <v>406</v>
      </c>
      <c r="E338" s="8">
        <f>VLOOKUP(B338,T.productos!$A$1:$E$15,4,0)</f>
        <v>0.61</v>
      </c>
      <c r="F338" s="8">
        <f>VLOOKUP(B338,T.productos!$A$1:$E$15,5,0)</f>
        <v>0.4</v>
      </c>
      <c r="G338" s="9">
        <f t="shared" si="5"/>
        <v>0.34426229508196721</v>
      </c>
    </row>
    <row r="339" spans="1:7" x14ac:dyDescent="0.25">
      <c r="A339" s="4">
        <v>4</v>
      </c>
      <c r="B339" s="5">
        <v>4</v>
      </c>
      <c r="C339" s="6">
        <v>38345</v>
      </c>
      <c r="D339" s="7">
        <v>610</v>
      </c>
      <c r="E339" s="8">
        <f>VLOOKUP(B339,T.productos!$A$1:$E$15,4,0)</f>
        <v>0.61</v>
      </c>
      <c r="F339" s="8">
        <f>VLOOKUP(B339,T.productos!$A$1:$E$15,5,0)</f>
        <v>0.28999999999999998</v>
      </c>
      <c r="G339" s="9">
        <f t="shared" si="5"/>
        <v>0.52459016393442626</v>
      </c>
    </row>
    <row r="340" spans="1:7" x14ac:dyDescent="0.25">
      <c r="A340" s="4">
        <v>5</v>
      </c>
      <c r="B340" s="5">
        <v>10</v>
      </c>
      <c r="C340" s="6">
        <v>39226</v>
      </c>
      <c r="D340" s="7">
        <v>2306</v>
      </c>
      <c r="E340" s="8">
        <f>VLOOKUP(B340,T.productos!$A$1:$E$15,4,0)</f>
        <v>0.61</v>
      </c>
      <c r="F340" s="8">
        <f>VLOOKUP(B340,T.productos!$A$1:$E$15,5,0)</f>
        <v>0.4</v>
      </c>
      <c r="G340" s="9">
        <f t="shared" si="5"/>
        <v>0.34426229508196721</v>
      </c>
    </row>
    <row r="341" spans="1:7" x14ac:dyDescent="0.25">
      <c r="A341" s="4">
        <v>4</v>
      </c>
      <c r="B341" s="5">
        <v>8</v>
      </c>
      <c r="C341" s="6">
        <v>38877</v>
      </c>
      <c r="D341" s="7">
        <v>2503</v>
      </c>
      <c r="E341" s="8">
        <f>VLOOKUP(B341,T.productos!$A$1:$E$15,4,0)</f>
        <v>3.63</v>
      </c>
      <c r="F341" s="8">
        <f>VLOOKUP(B341,T.productos!$A$1:$E$15,5,0)</f>
        <v>3.35</v>
      </c>
      <c r="G341" s="9">
        <f t="shared" si="5"/>
        <v>7.7134986225895319E-2</v>
      </c>
    </row>
    <row r="342" spans="1:7" x14ac:dyDescent="0.25">
      <c r="A342" s="4">
        <v>1</v>
      </c>
      <c r="B342" s="5">
        <v>9</v>
      </c>
      <c r="C342" s="6">
        <v>38321</v>
      </c>
      <c r="D342" s="7">
        <v>584</v>
      </c>
      <c r="E342" s="8">
        <f>VLOOKUP(B342,T.productos!$A$1:$E$15,4,0)</f>
        <v>1.21</v>
      </c>
      <c r="F342" s="8">
        <f>VLOOKUP(B342,T.productos!$A$1:$E$15,5,0)</f>
        <v>0.36</v>
      </c>
      <c r="G342" s="9">
        <f t="shared" si="5"/>
        <v>0.7024793388429752</v>
      </c>
    </row>
    <row r="343" spans="1:7" x14ac:dyDescent="0.25">
      <c r="A343" s="4">
        <v>2</v>
      </c>
      <c r="B343" s="5">
        <v>3</v>
      </c>
      <c r="C343" s="6">
        <v>38238</v>
      </c>
      <c r="D343" s="7">
        <v>572</v>
      </c>
      <c r="E343" s="8">
        <f>VLOOKUP(B343,T.productos!$A$1:$E$15,4,0)</f>
        <v>1.94</v>
      </c>
      <c r="F343" s="8">
        <f>VLOOKUP(B343,T.productos!$A$1:$E$15,5,0)</f>
        <v>1.89</v>
      </c>
      <c r="G343" s="9">
        <f t="shared" si="5"/>
        <v>2.5773195876288658E-2</v>
      </c>
    </row>
    <row r="344" spans="1:7" x14ac:dyDescent="0.25">
      <c r="A344" s="4">
        <v>1</v>
      </c>
      <c r="B344" s="5">
        <v>1</v>
      </c>
      <c r="C344" s="6">
        <v>39723</v>
      </c>
      <c r="D344" s="7">
        <v>1785</v>
      </c>
      <c r="E344" s="8">
        <f>VLOOKUP(B344,T.productos!$A$1:$E$15,4,0)</f>
        <v>3.93</v>
      </c>
      <c r="F344" s="8">
        <f>VLOOKUP(B344,T.productos!$A$1:$E$15,5,0)</f>
        <v>3.4</v>
      </c>
      <c r="G344" s="9">
        <f t="shared" si="5"/>
        <v>0.13486005089058525</v>
      </c>
    </row>
    <row r="345" spans="1:7" x14ac:dyDescent="0.25">
      <c r="A345" s="4">
        <v>3</v>
      </c>
      <c r="B345" s="5">
        <v>5</v>
      </c>
      <c r="C345" s="6">
        <v>39402</v>
      </c>
      <c r="D345" s="7">
        <v>324</v>
      </c>
      <c r="E345" s="8">
        <f>VLOOKUP(B345,T.productos!$A$1:$E$15,4,0)</f>
        <v>2.54</v>
      </c>
      <c r="F345" s="8">
        <f>VLOOKUP(B345,T.productos!$A$1:$E$15,5,0)</f>
        <v>2.2799999999999998</v>
      </c>
      <c r="G345" s="9">
        <f t="shared" si="5"/>
        <v>0.10236220472440945</v>
      </c>
    </row>
    <row r="346" spans="1:7" x14ac:dyDescent="0.25">
      <c r="A346" s="4">
        <v>3</v>
      </c>
      <c r="B346" s="5">
        <v>3</v>
      </c>
      <c r="C346" s="6">
        <v>38689</v>
      </c>
      <c r="D346" s="7">
        <v>2308</v>
      </c>
      <c r="E346" s="8">
        <f>VLOOKUP(B346,T.productos!$A$1:$E$15,4,0)</f>
        <v>1.94</v>
      </c>
      <c r="F346" s="8">
        <f>VLOOKUP(B346,T.productos!$A$1:$E$15,5,0)</f>
        <v>1.89</v>
      </c>
      <c r="G346" s="9">
        <f t="shared" si="5"/>
        <v>2.5773195876288658E-2</v>
      </c>
    </row>
    <row r="347" spans="1:7" x14ac:dyDescent="0.25">
      <c r="A347" s="4">
        <v>2</v>
      </c>
      <c r="B347" s="5">
        <v>4</v>
      </c>
      <c r="C347" s="6">
        <v>38059</v>
      </c>
      <c r="D347" s="7">
        <v>1012</v>
      </c>
      <c r="E347" s="8">
        <f>VLOOKUP(B347,T.productos!$A$1:$E$15,4,0)</f>
        <v>0.61</v>
      </c>
      <c r="F347" s="8">
        <f>VLOOKUP(B347,T.productos!$A$1:$E$15,5,0)</f>
        <v>0.28999999999999998</v>
      </c>
      <c r="G347" s="9">
        <f t="shared" si="5"/>
        <v>0.52459016393442626</v>
      </c>
    </row>
    <row r="348" spans="1:7" x14ac:dyDescent="0.25">
      <c r="A348" s="4">
        <v>3</v>
      </c>
      <c r="B348" s="5">
        <v>4</v>
      </c>
      <c r="C348" s="6">
        <v>38259</v>
      </c>
      <c r="D348" s="7">
        <v>1883</v>
      </c>
      <c r="E348" s="8">
        <f>VLOOKUP(B348,T.productos!$A$1:$E$15,4,0)</f>
        <v>0.61</v>
      </c>
      <c r="F348" s="8">
        <f>VLOOKUP(B348,T.productos!$A$1:$E$15,5,0)</f>
        <v>0.28999999999999998</v>
      </c>
      <c r="G348" s="9">
        <f t="shared" si="5"/>
        <v>0.52459016393442626</v>
      </c>
    </row>
    <row r="349" spans="1:7" x14ac:dyDescent="0.25">
      <c r="A349" s="4">
        <v>3</v>
      </c>
      <c r="B349" s="5">
        <v>14</v>
      </c>
      <c r="C349" s="6">
        <v>38901</v>
      </c>
      <c r="D349" s="7">
        <v>1171</v>
      </c>
      <c r="E349" s="8">
        <f>VLOOKUP(B349,T.productos!$A$1:$E$15,4,0)</f>
        <v>3.63</v>
      </c>
      <c r="F349" s="8">
        <f>VLOOKUP(B349,T.productos!$A$1:$E$15,5,0)</f>
        <v>3.2</v>
      </c>
      <c r="G349" s="9">
        <f t="shared" si="5"/>
        <v>0.1184573002754821</v>
      </c>
    </row>
    <row r="350" spans="1:7" x14ac:dyDescent="0.25">
      <c r="A350" s="4">
        <v>5</v>
      </c>
      <c r="B350" s="5">
        <v>7</v>
      </c>
      <c r="C350" s="6">
        <v>38746</v>
      </c>
      <c r="D350" s="7">
        <v>1293</v>
      </c>
      <c r="E350" s="8">
        <f>VLOOKUP(B350,T.productos!$A$1:$E$15,4,0)</f>
        <v>0.97</v>
      </c>
      <c r="F350" s="8">
        <f>VLOOKUP(B350,T.productos!$A$1:$E$15,5,0)</f>
        <v>0.19</v>
      </c>
      <c r="G350" s="9">
        <f t="shared" si="5"/>
        <v>0.80412371134020622</v>
      </c>
    </row>
    <row r="351" spans="1:7" x14ac:dyDescent="0.25">
      <c r="A351" s="4">
        <v>2</v>
      </c>
      <c r="B351" s="5">
        <v>6</v>
      </c>
      <c r="C351" s="6">
        <v>39646</v>
      </c>
      <c r="D351" s="7">
        <v>2795</v>
      </c>
      <c r="E351" s="8">
        <f>VLOOKUP(B351,T.productos!$A$1:$E$15,4,0)</f>
        <v>2.42</v>
      </c>
      <c r="F351" s="8">
        <f>VLOOKUP(B351,T.productos!$A$1:$E$15,5,0)</f>
        <v>2.2799999999999998</v>
      </c>
      <c r="G351" s="9">
        <f t="shared" si="5"/>
        <v>5.7851239669421489E-2</v>
      </c>
    </row>
    <row r="352" spans="1:7" x14ac:dyDescent="0.25">
      <c r="A352" s="4">
        <v>1</v>
      </c>
      <c r="B352" s="5">
        <v>10</v>
      </c>
      <c r="C352" s="6">
        <v>39091</v>
      </c>
      <c r="D352" s="7">
        <v>1815</v>
      </c>
      <c r="E352" s="8">
        <f>VLOOKUP(B352,T.productos!$A$1:$E$15,4,0)</f>
        <v>0.61</v>
      </c>
      <c r="F352" s="8">
        <f>VLOOKUP(B352,T.productos!$A$1:$E$15,5,0)</f>
        <v>0.4</v>
      </c>
      <c r="G352" s="9">
        <f t="shared" si="5"/>
        <v>0.34426229508196721</v>
      </c>
    </row>
    <row r="353" spans="1:7" x14ac:dyDescent="0.25">
      <c r="A353" s="4">
        <v>1</v>
      </c>
      <c r="B353" s="5">
        <v>6</v>
      </c>
      <c r="C353" s="6">
        <v>39851</v>
      </c>
      <c r="D353" s="7">
        <v>2934</v>
      </c>
      <c r="E353" s="8">
        <f>VLOOKUP(B353,T.productos!$A$1:$E$15,4,0)</f>
        <v>2.42</v>
      </c>
      <c r="F353" s="8">
        <f>VLOOKUP(B353,T.productos!$A$1:$E$15,5,0)</f>
        <v>2.2799999999999998</v>
      </c>
      <c r="G353" s="9">
        <f t="shared" si="5"/>
        <v>5.7851239669421489E-2</v>
      </c>
    </row>
    <row r="354" spans="1:7" x14ac:dyDescent="0.25">
      <c r="A354" s="4">
        <v>1</v>
      </c>
      <c r="B354" s="5">
        <v>2</v>
      </c>
      <c r="C354" s="6">
        <v>38994</v>
      </c>
      <c r="D354" s="7">
        <v>1105</v>
      </c>
      <c r="E354" s="8">
        <f>VLOOKUP(B354,T.productos!$A$1:$E$15,4,0)</f>
        <v>1.63</v>
      </c>
      <c r="F354" s="8">
        <f>VLOOKUP(B354,T.productos!$A$1:$E$15,5,0)</f>
        <v>1.42</v>
      </c>
      <c r="G354" s="9">
        <f t="shared" si="5"/>
        <v>0.12883435582822086</v>
      </c>
    </row>
    <row r="355" spans="1:7" x14ac:dyDescent="0.25">
      <c r="A355" s="4">
        <v>2</v>
      </c>
      <c r="B355" s="5">
        <v>1</v>
      </c>
      <c r="C355" s="6">
        <v>38799</v>
      </c>
      <c r="D355" s="7">
        <v>2064</v>
      </c>
      <c r="E355" s="8">
        <f>VLOOKUP(B355,T.productos!$A$1:$E$15,4,0)</f>
        <v>3.93</v>
      </c>
      <c r="F355" s="8">
        <f>VLOOKUP(B355,T.productos!$A$1:$E$15,5,0)</f>
        <v>3.4</v>
      </c>
      <c r="G355" s="9">
        <f t="shared" si="5"/>
        <v>0.13486005089058525</v>
      </c>
    </row>
    <row r="356" spans="1:7" x14ac:dyDescent="0.25">
      <c r="A356" s="4">
        <v>4</v>
      </c>
      <c r="B356" s="5">
        <v>1</v>
      </c>
      <c r="C356" s="6">
        <v>39383</v>
      </c>
      <c r="D356" s="7">
        <v>666</v>
      </c>
      <c r="E356" s="8">
        <f>VLOOKUP(B356,T.productos!$A$1:$E$15,4,0)</f>
        <v>3.93</v>
      </c>
      <c r="F356" s="8">
        <f>VLOOKUP(B356,T.productos!$A$1:$E$15,5,0)</f>
        <v>3.4</v>
      </c>
      <c r="G356" s="9">
        <f t="shared" si="5"/>
        <v>0.13486005089058525</v>
      </c>
    </row>
    <row r="357" spans="1:7" x14ac:dyDescent="0.25">
      <c r="A357" s="4">
        <v>5</v>
      </c>
      <c r="B357" s="5">
        <v>7</v>
      </c>
      <c r="C357" s="6">
        <v>39379</v>
      </c>
      <c r="D357" s="7">
        <v>2302</v>
      </c>
      <c r="E357" s="8">
        <f>VLOOKUP(B357,T.productos!$A$1:$E$15,4,0)</f>
        <v>0.97</v>
      </c>
      <c r="F357" s="8">
        <f>VLOOKUP(B357,T.productos!$A$1:$E$15,5,0)</f>
        <v>0.19</v>
      </c>
      <c r="G357" s="9">
        <f t="shared" si="5"/>
        <v>0.80412371134020622</v>
      </c>
    </row>
    <row r="358" spans="1:7" x14ac:dyDescent="0.25">
      <c r="A358" s="4">
        <v>3</v>
      </c>
      <c r="B358" s="5">
        <v>4</v>
      </c>
      <c r="C358" s="6">
        <v>39333</v>
      </c>
      <c r="D358" s="7">
        <v>1809</v>
      </c>
      <c r="E358" s="8">
        <f>VLOOKUP(B358,T.productos!$A$1:$E$15,4,0)</f>
        <v>0.61</v>
      </c>
      <c r="F358" s="8">
        <f>VLOOKUP(B358,T.productos!$A$1:$E$15,5,0)</f>
        <v>0.28999999999999998</v>
      </c>
      <c r="G358" s="9">
        <f t="shared" si="5"/>
        <v>0.52459016393442626</v>
      </c>
    </row>
    <row r="359" spans="1:7" x14ac:dyDescent="0.25">
      <c r="A359" s="4">
        <v>4</v>
      </c>
      <c r="B359" s="5">
        <v>12</v>
      </c>
      <c r="C359" s="6">
        <v>39536</v>
      </c>
      <c r="D359" s="7">
        <v>1815</v>
      </c>
      <c r="E359" s="8">
        <f>VLOOKUP(B359,T.productos!$A$1:$E$15,4,0)</f>
        <v>2.42</v>
      </c>
      <c r="F359" s="8">
        <f>VLOOKUP(B359,T.productos!$A$1:$E$15,5,0)</f>
        <v>1.68</v>
      </c>
      <c r="G359" s="9">
        <f t="shared" si="5"/>
        <v>0.30578512396694213</v>
      </c>
    </row>
    <row r="360" spans="1:7" x14ac:dyDescent="0.25">
      <c r="A360" s="4">
        <v>4</v>
      </c>
      <c r="B360" s="5">
        <v>5</v>
      </c>
      <c r="C360" s="6">
        <v>39930</v>
      </c>
      <c r="D360" s="7">
        <v>497</v>
      </c>
      <c r="E360" s="8">
        <f>VLOOKUP(B360,T.productos!$A$1:$E$15,4,0)</f>
        <v>2.54</v>
      </c>
      <c r="F360" s="8">
        <f>VLOOKUP(B360,T.productos!$A$1:$E$15,5,0)</f>
        <v>2.2799999999999998</v>
      </c>
      <c r="G360" s="9">
        <f t="shared" si="5"/>
        <v>0.10236220472440945</v>
      </c>
    </row>
    <row r="361" spans="1:7" x14ac:dyDescent="0.25">
      <c r="A361" s="4">
        <v>4</v>
      </c>
      <c r="B361" s="5">
        <v>10</v>
      </c>
      <c r="C361" s="6">
        <v>39271</v>
      </c>
      <c r="D361" s="7">
        <v>2838</v>
      </c>
      <c r="E361" s="8">
        <f>VLOOKUP(B361,T.productos!$A$1:$E$15,4,0)</f>
        <v>0.61</v>
      </c>
      <c r="F361" s="8">
        <f>VLOOKUP(B361,T.productos!$A$1:$E$15,5,0)</f>
        <v>0.4</v>
      </c>
      <c r="G361" s="9">
        <f t="shared" si="5"/>
        <v>0.34426229508196721</v>
      </c>
    </row>
    <row r="362" spans="1:7" x14ac:dyDescent="0.25">
      <c r="A362" s="4">
        <v>2</v>
      </c>
      <c r="B362" s="5">
        <v>4</v>
      </c>
      <c r="C362" s="6">
        <v>38040</v>
      </c>
      <c r="D362" s="7">
        <v>748</v>
      </c>
      <c r="E362" s="8">
        <f>VLOOKUP(B362,T.productos!$A$1:$E$15,4,0)</f>
        <v>0.61</v>
      </c>
      <c r="F362" s="8">
        <f>VLOOKUP(B362,T.productos!$A$1:$E$15,5,0)</f>
        <v>0.28999999999999998</v>
      </c>
      <c r="G362" s="9">
        <f t="shared" si="5"/>
        <v>0.52459016393442626</v>
      </c>
    </row>
    <row r="363" spans="1:7" x14ac:dyDescent="0.25">
      <c r="A363" s="4">
        <v>5</v>
      </c>
      <c r="B363" s="5">
        <v>5</v>
      </c>
      <c r="C363" s="6">
        <v>39186</v>
      </c>
      <c r="D363" s="7">
        <v>432</v>
      </c>
      <c r="E363" s="8">
        <f>VLOOKUP(B363,T.productos!$A$1:$E$15,4,0)</f>
        <v>2.54</v>
      </c>
      <c r="F363" s="8">
        <f>VLOOKUP(B363,T.productos!$A$1:$E$15,5,0)</f>
        <v>2.2799999999999998</v>
      </c>
      <c r="G363" s="9">
        <f t="shared" si="5"/>
        <v>0.10236220472440945</v>
      </c>
    </row>
    <row r="364" spans="1:7" x14ac:dyDescent="0.25">
      <c r="A364" s="4">
        <v>2</v>
      </c>
      <c r="B364" s="5">
        <v>8</v>
      </c>
      <c r="C364" s="6">
        <v>38336</v>
      </c>
      <c r="D364" s="7">
        <v>303</v>
      </c>
      <c r="E364" s="8">
        <f>VLOOKUP(B364,T.productos!$A$1:$E$15,4,0)</f>
        <v>3.63</v>
      </c>
      <c r="F364" s="8">
        <f>VLOOKUP(B364,T.productos!$A$1:$E$15,5,0)</f>
        <v>3.35</v>
      </c>
      <c r="G364" s="9">
        <f t="shared" si="5"/>
        <v>7.7134986225895319E-2</v>
      </c>
    </row>
    <row r="365" spans="1:7" x14ac:dyDescent="0.25">
      <c r="A365" s="4">
        <v>4</v>
      </c>
      <c r="B365" s="5">
        <v>1</v>
      </c>
      <c r="C365" s="6">
        <v>39713</v>
      </c>
      <c r="D365" s="7">
        <v>722</v>
      </c>
      <c r="E365" s="8">
        <f>VLOOKUP(B365,T.productos!$A$1:$E$15,4,0)</f>
        <v>3.93</v>
      </c>
      <c r="F365" s="8">
        <f>VLOOKUP(B365,T.productos!$A$1:$E$15,5,0)</f>
        <v>3.4</v>
      </c>
      <c r="G365" s="9">
        <f t="shared" si="5"/>
        <v>0.13486005089058525</v>
      </c>
    </row>
    <row r="366" spans="1:7" x14ac:dyDescent="0.25">
      <c r="A366" s="4">
        <v>5</v>
      </c>
      <c r="B366" s="5">
        <v>5</v>
      </c>
      <c r="C366" s="6">
        <v>38151</v>
      </c>
      <c r="D366" s="7">
        <v>1918</v>
      </c>
      <c r="E366" s="8">
        <f>VLOOKUP(B366,T.productos!$A$1:$E$15,4,0)</f>
        <v>2.54</v>
      </c>
      <c r="F366" s="8">
        <f>VLOOKUP(B366,T.productos!$A$1:$E$15,5,0)</f>
        <v>2.2799999999999998</v>
      </c>
      <c r="G366" s="9">
        <f t="shared" si="5"/>
        <v>0.10236220472440945</v>
      </c>
    </row>
    <row r="367" spans="1:7" x14ac:dyDescent="0.25">
      <c r="A367" s="4">
        <v>5</v>
      </c>
      <c r="B367" s="5">
        <v>10</v>
      </c>
      <c r="C367" s="6">
        <v>39125</v>
      </c>
      <c r="D367" s="7">
        <v>970</v>
      </c>
      <c r="E367" s="8">
        <f>VLOOKUP(B367,T.productos!$A$1:$E$15,4,0)</f>
        <v>0.61</v>
      </c>
      <c r="F367" s="8">
        <f>VLOOKUP(B367,T.productos!$A$1:$E$15,5,0)</f>
        <v>0.4</v>
      </c>
      <c r="G367" s="9">
        <f t="shared" si="5"/>
        <v>0.34426229508196721</v>
      </c>
    </row>
    <row r="368" spans="1:7" x14ac:dyDescent="0.25">
      <c r="A368" s="4">
        <v>2</v>
      </c>
      <c r="B368" s="5">
        <v>11</v>
      </c>
      <c r="C368" s="6">
        <v>39543</v>
      </c>
      <c r="D368" s="7">
        <v>2361</v>
      </c>
      <c r="E368" s="8">
        <f>VLOOKUP(B368,T.productos!$A$1:$E$15,4,0)</f>
        <v>1.21</v>
      </c>
      <c r="F368" s="8">
        <f>VLOOKUP(B368,T.productos!$A$1:$E$15,5,0)</f>
        <v>0.72</v>
      </c>
      <c r="G368" s="9">
        <f t="shared" si="5"/>
        <v>0.4049586776859504</v>
      </c>
    </row>
    <row r="369" spans="1:7" x14ac:dyDescent="0.25">
      <c r="A369" s="4">
        <v>2</v>
      </c>
      <c r="B369" s="5">
        <v>5</v>
      </c>
      <c r="C369" s="6">
        <v>38226</v>
      </c>
      <c r="D369" s="7">
        <v>764</v>
      </c>
      <c r="E369" s="8">
        <f>VLOOKUP(B369,T.productos!$A$1:$E$15,4,0)</f>
        <v>2.54</v>
      </c>
      <c r="F369" s="8">
        <f>VLOOKUP(B369,T.productos!$A$1:$E$15,5,0)</f>
        <v>2.2799999999999998</v>
      </c>
      <c r="G369" s="9">
        <f t="shared" si="5"/>
        <v>0.10236220472440945</v>
      </c>
    </row>
    <row r="370" spans="1:7" x14ac:dyDescent="0.25">
      <c r="A370" s="4">
        <v>3</v>
      </c>
      <c r="B370" s="5">
        <v>1</v>
      </c>
      <c r="C370" s="6">
        <v>39522</v>
      </c>
      <c r="D370" s="7">
        <v>1836</v>
      </c>
      <c r="E370" s="8">
        <f>VLOOKUP(B370,T.productos!$A$1:$E$15,4,0)</f>
        <v>3.93</v>
      </c>
      <c r="F370" s="8">
        <f>VLOOKUP(B370,T.productos!$A$1:$E$15,5,0)</f>
        <v>3.4</v>
      </c>
      <c r="G370" s="9">
        <f t="shared" si="5"/>
        <v>0.13486005089058525</v>
      </c>
    </row>
    <row r="371" spans="1:7" x14ac:dyDescent="0.25">
      <c r="A371" s="4">
        <v>1</v>
      </c>
      <c r="B371" s="5">
        <v>14</v>
      </c>
      <c r="C371" s="6">
        <v>38263</v>
      </c>
      <c r="D371" s="7">
        <v>1294</v>
      </c>
      <c r="E371" s="8">
        <f>VLOOKUP(B371,T.productos!$A$1:$E$15,4,0)</f>
        <v>3.63</v>
      </c>
      <c r="F371" s="8">
        <f>VLOOKUP(B371,T.productos!$A$1:$E$15,5,0)</f>
        <v>3.2</v>
      </c>
      <c r="G371" s="9">
        <f t="shared" si="5"/>
        <v>0.1184573002754821</v>
      </c>
    </row>
    <row r="372" spans="1:7" x14ac:dyDescent="0.25">
      <c r="A372" s="4">
        <v>5</v>
      </c>
      <c r="B372" s="5">
        <v>9</v>
      </c>
      <c r="C372" s="6">
        <v>38193</v>
      </c>
      <c r="D372" s="7">
        <v>2225</v>
      </c>
      <c r="E372" s="8">
        <f>VLOOKUP(B372,T.productos!$A$1:$E$15,4,0)</f>
        <v>1.21</v>
      </c>
      <c r="F372" s="8">
        <f>VLOOKUP(B372,T.productos!$A$1:$E$15,5,0)</f>
        <v>0.36</v>
      </c>
      <c r="G372" s="9">
        <f t="shared" si="5"/>
        <v>0.7024793388429752</v>
      </c>
    </row>
    <row r="373" spans="1:7" x14ac:dyDescent="0.25">
      <c r="A373" s="4">
        <v>3</v>
      </c>
      <c r="B373" s="5">
        <v>14</v>
      </c>
      <c r="C373" s="6">
        <v>39808</v>
      </c>
      <c r="D373" s="7">
        <v>1787</v>
      </c>
      <c r="E373" s="8">
        <f>VLOOKUP(B373,T.productos!$A$1:$E$15,4,0)</f>
        <v>3.63</v>
      </c>
      <c r="F373" s="8">
        <f>VLOOKUP(B373,T.productos!$A$1:$E$15,5,0)</f>
        <v>3.2</v>
      </c>
      <c r="G373" s="9">
        <f t="shared" si="5"/>
        <v>0.1184573002754821</v>
      </c>
    </row>
    <row r="374" spans="1:7" x14ac:dyDescent="0.25">
      <c r="A374" s="4">
        <v>3</v>
      </c>
      <c r="B374" s="5">
        <v>2</v>
      </c>
      <c r="C374" s="6">
        <v>39467</v>
      </c>
      <c r="D374" s="7">
        <v>2645</v>
      </c>
      <c r="E374" s="8">
        <f>VLOOKUP(B374,T.productos!$A$1:$E$15,4,0)</f>
        <v>1.63</v>
      </c>
      <c r="F374" s="8">
        <f>VLOOKUP(B374,T.productos!$A$1:$E$15,5,0)</f>
        <v>1.42</v>
      </c>
      <c r="G374" s="9">
        <f t="shared" si="5"/>
        <v>0.12883435582822086</v>
      </c>
    </row>
    <row r="375" spans="1:7" x14ac:dyDescent="0.25">
      <c r="A375" s="4">
        <v>3</v>
      </c>
      <c r="B375" s="5">
        <v>3</v>
      </c>
      <c r="C375" s="6">
        <v>39950</v>
      </c>
      <c r="D375" s="7">
        <v>2736</v>
      </c>
      <c r="E375" s="8">
        <f>VLOOKUP(B375,T.productos!$A$1:$E$15,4,0)</f>
        <v>1.94</v>
      </c>
      <c r="F375" s="8">
        <f>VLOOKUP(B375,T.productos!$A$1:$E$15,5,0)</f>
        <v>1.89</v>
      </c>
      <c r="G375" s="9">
        <f t="shared" si="5"/>
        <v>2.5773195876288658E-2</v>
      </c>
    </row>
    <row r="376" spans="1:7" x14ac:dyDescent="0.25">
      <c r="A376" s="4">
        <v>3</v>
      </c>
      <c r="B376" s="5">
        <v>3</v>
      </c>
      <c r="C376" s="6">
        <v>39561</v>
      </c>
      <c r="D376" s="7">
        <v>1236</v>
      </c>
      <c r="E376" s="8">
        <f>VLOOKUP(B376,T.productos!$A$1:$E$15,4,0)</f>
        <v>1.94</v>
      </c>
      <c r="F376" s="8">
        <f>VLOOKUP(B376,T.productos!$A$1:$E$15,5,0)</f>
        <v>1.89</v>
      </c>
      <c r="G376" s="9">
        <f t="shared" si="5"/>
        <v>2.5773195876288658E-2</v>
      </c>
    </row>
    <row r="377" spans="1:7" x14ac:dyDescent="0.25">
      <c r="A377" s="4">
        <v>1</v>
      </c>
      <c r="B377" s="5">
        <v>4</v>
      </c>
      <c r="C377" s="6">
        <v>38910</v>
      </c>
      <c r="D377" s="7">
        <v>2284</v>
      </c>
      <c r="E377" s="8">
        <f>VLOOKUP(B377,T.productos!$A$1:$E$15,4,0)</f>
        <v>0.61</v>
      </c>
      <c r="F377" s="8">
        <f>VLOOKUP(B377,T.productos!$A$1:$E$15,5,0)</f>
        <v>0.28999999999999998</v>
      </c>
      <c r="G377" s="9">
        <f t="shared" si="5"/>
        <v>0.52459016393442626</v>
      </c>
    </row>
    <row r="378" spans="1:7" x14ac:dyDescent="0.25">
      <c r="A378" s="4">
        <v>1</v>
      </c>
      <c r="B378" s="5">
        <v>11</v>
      </c>
      <c r="C378" s="6">
        <v>38865</v>
      </c>
      <c r="D378" s="7">
        <v>811</v>
      </c>
      <c r="E378" s="8">
        <f>VLOOKUP(B378,T.productos!$A$1:$E$15,4,0)</f>
        <v>1.21</v>
      </c>
      <c r="F378" s="8">
        <f>VLOOKUP(B378,T.productos!$A$1:$E$15,5,0)</f>
        <v>0.72</v>
      </c>
      <c r="G378" s="9">
        <f t="shared" si="5"/>
        <v>0.4049586776859504</v>
      </c>
    </row>
    <row r="379" spans="1:7" x14ac:dyDescent="0.25">
      <c r="A379" s="4">
        <v>2</v>
      </c>
      <c r="B379" s="5">
        <v>3</v>
      </c>
      <c r="C379" s="6">
        <v>39383</v>
      </c>
      <c r="D379" s="7">
        <v>1142</v>
      </c>
      <c r="E379" s="8">
        <f>VLOOKUP(B379,T.productos!$A$1:$E$15,4,0)</f>
        <v>1.94</v>
      </c>
      <c r="F379" s="8">
        <f>VLOOKUP(B379,T.productos!$A$1:$E$15,5,0)</f>
        <v>1.89</v>
      </c>
      <c r="G379" s="9">
        <f t="shared" si="5"/>
        <v>2.5773195876288658E-2</v>
      </c>
    </row>
    <row r="380" spans="1:7" x14ac:dyDescent="0.25">
      <c r="A380" s="4">
        <v>4</v>
      </c>
      <c r="B380" s="5">
        <v>14</v>
      </c>
      <c r="C380" s="6">
        <v>38857</v>
      </c>
      <c r="D380" s="7">
        <v>2248</v>
      </c>
      <c r="E380" s="8">
        <f>VLOOKUP(B380,T.productos!$A$1:$E$15,4,0)</f>
        <v>3.63</v>
      </c>
      <c r="F380" s="8">
        <f>VLOOKUP(B380,T.productos!$A$1:$E$15,5,0)</f>
        <v>3.2</v>
      </c>
      <c r="G380" s="9">
        <f t="shared" si="5"/>
        <v>0.1184573002754821</v>
      </c>
    </row>
    <row r="381" spans="1:7" x14ac:dyDescent="0.25">
      <c r="A381" s="4">
        <v>5</v>
      </c>
      <c r="B381" s="5">
        <v>1</v>
      </c>
      <c r="C381" s="6">
        <v>39331</v>
      </c>
      <c r="D381" s="7">
        <v>1517</v>
      </c>
      <c r="E381" s="8">
        <f>VLOOKUP(B381,T.productos!$A$1:$E$15,4,0)</f>
        <v>3.93</v>
      </c>
      <c r="F381" s="8">
        <f>VLOOKUP(B381,T.productos!$A$1:$E$15,5,0)</f>
        <v>3.4</v>
      </c>
      <c r="G381" s="9">
        <f t="shared" si="5"/>
        <v>0.13486005089058525</v>
      </c>
    </row>
    <row r="382" spans="1:7" x14ac:dyDescent="0.25">
      <c r="A382" s="4">
        <v>3</v>
      </c>
      <c r="B382" s="5">
        <v>13</v>
      </c>
      <c r="C382" s="6">
        <v>39193</v>
      </c>
      <c r="D382" s="7">
        <v>2736</v>
      </c>
      <c r="E382" s="8">
        <f>VLOOKUP(B382,T.productos!$A$1:$E$15,4,0)</f>
        <v>0.24</v>
      </c>
      <c r="F382" s="8">
        <f>VLOOKUP(B382,T.productos!$A$1:$E$15,5,0)</f>
        <v>0.12</v>
      </c>
      <c r="G382" s="9">
        <f t="shared" si="5"/>
        <v>0.5</v>
      </c>
    </row>
    <row r="383" spans="1:7" x14ac:dyDescent="0.25">
      <c r="A383" s="4">
        <v>2</v>
      </c>
      <c r="B383" s="5">
        <v>10</v>
      </c>
      <c r="C383" s="6">
        <v>39572</v>
      </c>
      <c r="D383" s="7">
        <v>843</v>
      </c>
      <c r="E383" s="8">
        <f>VLOOKUP(B383,T.productos!$A$1:$E$15,4,0)</f>
        <v>0.61</v>
      </c>
      <c r="F383" s="8">
        <f>VLOOKUP(B383,T.productos!$A$1:$E$15,5,0)</f>
        <v>0.4</v>
      </c>
      <c r="G383" s="9">
        <f t="shared" si="5"/>
        <v>0.34426229508196721</v>
      </c>
    </row>
    <row r="384" spans="1:7" x14ac:dyDescent="0.25">
      <c r="A384" s="4">
        <v>3</v>
      </c>
      <c r="B384" s="5">
        <v>7</v>
      </c>
      <c r="C384" s="6">
        <v>38206</v>
      </c>
      <c r="D384" s="7">
        <v>1209</v>
      </c>
      <c r="E384" s="8">
        <f>VLOOKUP(B384,T.productos!$A$1:$E$15,4,0)</f>
        <v>0.97</v>
      </c>
      <c r="F384" s="8">
        <f>VLOOKUP(B384,T.productos!$A$1:$E$15,5,0)</f>
        <v>0.19</v>
      </c>
      <c r="G384" s="9">
        <f t="shared" si="5"/>
        <v>0.80412371134020622</v>
      </c>
    </row>
    <row r="385" spans="1:7" x14ac:dyDescent="0.25">
      <c r="A385" s="4">
        <v>4</v>
      </c>
      <c r="B385" s="5">
        <v>3</v>
      </c>
      <c r="C385" s="6">
        <v>38428</v>
      </c>
      <c r="D385" s="7">
        <v>1727</v>
      </c>
      <c r="E385" s="8">
        <f>VLOOKUP(B385,T.productos!$A$1:$E$15,4,0)</f>
        <v>1.94</v>
      </c>
      <c r="F385" s="8">
        <f>VLOOKUP(B385,T.productos!$A$1:$E$15,5,0)</f>
        <v>1.89</v>
      </c>
      <c r="G385" s="9">
        <f t="shared" si="5"/>
        <v>2.5773195876288658E-2</v>
      </c>
    </row>
    <row r="386" spans="1:7" x14ac:dyDescent="0.25">
      <c r="A386" s="4">
        <v>2</v>
      </c>
      <c r="B386" s="5">
        <v>10</v>
      </c>
      <c r="C386" s="6">
        <v>39438</v>
      </c>
      <c r="D386" s="7">
        <v>2217</v>
      </c>
      <c r="E386" s="8">
        <f>VLOOKUP(B386,T.productos!$A$1:$E$15,4,0)</f>
        <v>0.61</v>
      </c>
      <c r="F386" s="8">
        <f>VLOOKUP(B386,T.productos!$A$1:$E$15,5,0)</f>
        <v>0.4</v>
      </c>
      <c r="G386" s="9">
        <f t="shared" ref="G386:G449" si="6">margen(D386,E386,F386)</f>
        <v>0.34426229508196721</v>
      </c>
    </row>
    <row r="387" spans="1:7" x14ac:dyDescent="0.25">
      <c r="A387" s="4">
        <v>3</v>
      </c>
      <c r="B387" s="5">
        <v>10</v>
      </c>
      <c r="C387" s="6">
        <v>39262</v>
      </c>
      <c r="D387" s="7">
        <v>1721</v>
      </c>
      <c r="E387" s="8">
        <f>VLOOKUP(B387,T.productos!$A$1:$E$15,4,0)</f>
        <v>0.61</v>
      </c>
      <c r="F387" s="8">
        <f>VLOOKUP(B387,T.productos!$A$1:$E$15,5,0)</f>
        <v>0.4</v>
      </c>
      <c r="G387" s="9">
        <f t="shared" si="6"/>
        <v>0.34426229508196721</v>
      </c>
    </row>
    <row r="388" spans="1:7" x14ac:dyDescent="0.25">
      <c r="A388" s="4">
        <v>2</v>
      </c>
      <c r="B388" s="5">
        <v>5</v>
      </c>
      <c r="C388" s="6">
        <v>38914</v>
      </c>
      <c r="D388" s="7">
        <v>1337</v>
      </c>
      <c r="E388" s="8">
        <f>VLOOKUP(B388,T.productos!$A$1:$E$15,4,0)</f>
        <v>2.54</v>
      </c>
      <c r="F388" s="8">
        <f>VLOOKUP(B388,T.productos!$A$1:$E$15,5,0)</f>
        <v>2.2799999999999998</v>
      </c>
      <c r="G388" s="9">
        <f t="shared" si="6"/>
        <v>0.10236220472440945</v>
      </c>
    </row>
    <row r="389" spans="1:7" x14ac:dyDescent="0.25">
      <c r="A389" s="4">
        <v>5</v>
      </c>
      <c r="B389" s="5">
        <v>10</v>
      </c>
      <c r="C389" s="6">
        <v>39016</v>
      </c>
      <c r="D389" s="7">
        <v>739</v>
      </c>
      <c r="E389" s="8">
        <f>VLOOKUP(B389,T.productos!$A$1:$E$15,4,0)</f>
        <v>0.61</v>
      </c>
      <c r="F389" s="8">
        <f>VLOOKUP(B389,T.productos!$A$1:$E$15,5,0)</f>
        <v>0.4</v>
      </c>
      <c r="G389" s="9">
        <f t="shared" si="6"/>
        <v>0.34426229508196721</v>
      </c>
    </row>
    <row r="390" spans="1:7" x14ac:dyDescent="0.25">
      <c r="A390" s="4">
        <v>4</v>
      </c>
      <c r="B390" s="5">
        <v>11</v>
      </c>
      <c r="C390" s="6">
        <v>38393</v>
      </c>
      <c r="D390" s="7">
        <v>2167</v>
      </c>
      <c r="E390" s="8">
        <f>VLOOKUP(B390,T.productos!$A$1:$E$15,4,0)</f>
        <v>1.21</v>
      </c>
      <c r="F390" s="8">
        <f>VLOOKUP(B390,T.productos!$A$1:$E$15,5,0)</f>
        <v>0.72</v>
      </c>
      <c r="G390" s="9">
        <f t="shared" si="6"/>
        <v>0.4049586776859504</v>
      </c>
    </row>
    <row r="391" spans="1:7" x14ac:dyDescent="0.25">
      <c r="A391" s="4">
        <v>3</v>
      </c>
      <c r="B391" s="5">
        <v>13</v>
      </c>
      <c r="C391" s="6">
        <v>39089</v>
      </c>
      <c r="D391" s="7">
        <v>2880</v>
      </c>
      <c r="E391" s="8">
        <f>VLOOKUP(B391,T.productos!$A$1:$E$15,4,0)</f>
        <v>0.24</v>
      </c>
      <c r="F391" s="8">
        <f>VLOOKUP(B391,T.productos!$A$1:$E$15,5,0)</f>
        <v>0.12</v>
      </c>
      <c r="G391" s="9">
        <f t="shared" si="6"/>
        <v>0.5</v>
      </c>
    </row>
    <row r="392" spans="1:7" x14ac:dyDescent="0.25">
      <c r="A392" s="4">
        <v>1</v>
      </c>
      <c r="B392" s="5">
        <v>14</v>
      </c>
      <c r="C392" s="6">
        <v>39298</v>
      </c>
      <c r="D392" s="7">
        <v>2857</v>
      </c>
      <c r="E392" s="8">
        <f>VLOOKUP(B392,T.productos!$A$1:$E$15,4,0)</f>
        <v>3.63</v>
      </c>
      <c r="F392" s="8">
        <f>VLOOKUP(B392,T.productos!$A$1:$E$15,5,0)</f>
        <v>3.2</v>
      </c>
      <c r="G392" s="9">
        <f t="shared" si="6"/>
        <v>0.1184573002754821</v>
      </c>
    </row>
    <row r="393" spans="1:7" x14ac:dyDescent="0.25">
      <c r="A393" s="4">
        <v>2</v>
      </c>
      <c r="B393" s="5">
        <v>13</v>
      </c>
      <c r="C393" s="6">
        <v>39200</v>
      </c>
      <c r="D393" s="7">
        <v>2931</v>
      </c>
      <c r="E393" s="8">
        <f>VLOOKUP(B393,T.productos!$A$1:$E$15,4,0)</f>
        <v>0.24</v>
      </c>
      <c r="F393" s="8">
        <f>VLOOKUP(B393,T.productos!$A$1:$E$15,5,0)</f>
        <v>0.12</v>
      </c>
      <c r="G393" s="9">
        <f t="shared" si="6"/>
        <v>0.5</v>
      </c>
    </row>
    <row r="394" spans="1:7" x14ac:dyDescent="0.25">
      <c r="A394" s="4">
        <v>3</v>
      </c>
      <c r="B394" s="5">
        <v>1</v>
      </c>
      <c r="C394" s="6">
        <v>38357</v>
      </c>
      <c r="D394" s="7">
        <v>1409</v>
      </c>
      <c r="E394" s="8">
        <f>VLOOKUP(B394,T.productos!$A$1:$E$15,4,0)</f>
        <v>3.93</v>
      </c>
      <c r="F394" s="8">
        <f>VLOOKUP(B394,T.productos!$A$1:$E$15,5,0)</f>
        <v>3.4</v>
      </c>
      <c r="G394" s="9">
        <f t="shared" si="6"/>
        <v>0.13486005089058525</v>
      </c>
    </row>
    <row r="395" spans="1:7" x14ac:dyDescent="0.25">
      <c r="A395" s="4">
        <v>4</v>
      </c>
      <c r="B395" s="5">
        <v>6</v>
      </c>
      <c r="C395" s="6">
        <v>39512</v>
      </c>
      <c r="D395" s="7">
        <v>2185</v>
      </c>
      <c r="E395" s="8">
        <f>VLOOKUP(B395,T.productos!$A$1:$E$15,4,0)</f>
        <v>2.42</v>
      </c>
      <c r="F395" s="8">
        <f>VLOOKUP(B395,T.productos!$A$1:$E$15,5,0)</f>
        <v>2.2799999999999998</v>
      </c>
      <c r="G395" s="9">
        <f t="shared" si="6"/>
        <v>5.7851239669421489E-2</v>
      </c>
    </row>
    <row r="396" spans="1:7" x14ac:dyDescent="0.25">
      <c r="A396" s="4">
        <v>1</v>
      </c>
      <c r="B396" s="5">
        <v>5</v>
      </c>
      <c r="C396" s="6">
        <v>38875</v>
      </c>
      <c r="D396" s="7">
        <v>839</v>
      </c>
      <c r="E396" s="8">
        <f>VLOOKUP(B396,T.productos!$A$1:$E$15,4,0)</f>
        <v>2.54</v>
      </c>
      <c r="F396" s="8">
        <f>VLOOKUP(B396,T.productos!$A$1:$E$15,5,0)</f>
        <v>2.2799999999999998</v>
      </c>
      <c r="G396" s="9">
        <f t="shared" si="6"/>
        <v>0.10236220472440945</v>
      </c>
    </row>
    <row r="397" spans="1:7" x14ac:dyDescent="0.25">
      <c r="A397" s="4">
        <v>1</v>
      </c>
      <c r="B397" s="5">
        <v>13</v>
      </c>
      <c r="C397" s="6">
        <v>38679</v>
      </c>
      <c r="D397" s="7">
        <v>429</v>
      </c>
      <c r="E397" s="8">
        <f>VLOOKUP(B397,T.productos!$A$1:$E$15,4,0)</f>
        <v>0.24</v>
      </c>
      <c r="F397" s="8">
        <f>VLOOKUP(B397,T.productos!$A$1:$E$15,5,0)</f>
        <v>0.12</v>
      </c>
      <c r="G397" s="9">
        <f t="shared" si="6"/>
        <v>0.5</v>
      </c>
    </row>
    <row r="398" spans="1:7" x14ac:dyDescent="0.25">
      <c r="A398" s="4">
        <v>4</v>
      </c>
      <c r="B398" s="5">
        <v>13</v>
      </c>
      <c r="C398" s="6">
        <v>38858</v>
      </c>
      <c r="D398" s="7">
        <v>772</v>
      </c>
      <c r="E398" s="8">
        <f>VLOOKUP(B398,T.productos!$A$1:$E$15,4,0)</f>
        <v>0.24</v>
      </c>
      <c r="F398" s="8">
        <f>VLOOKUP(B398,T.productos!$A$1:$E$15,5,0)</f>
        <v>0.12</v>
      </c>
      <c r="G398" s="9">
        <f t="shared" si="6"/>
        <v>0.5</v>
      </c>
    </row>
    <row r="399" spans="1:7" x14ac:dyDescent="0.25">
      <c r="A399" s="4">
        <v>4</v>
      </c>
      <c r="B399" s="5">
        <v>2</v>
      </c>
      <c r="C399" s="6">
        <v>38020</v>
      </c>
      <c r="D399" s="7">
        <v>1674</v>
      </c>
      <c r="E399" s="8">
        <f>VLOOKUP(B399,T.productos!$A$1:$E$15,4,0)</f>
        <v>1.63</v>
      </c>
      <c r="F399" s="8">
        <f>VLOOKUP(B399,T.productos!$A$1:$E$15,5,0)</f>
        <v>1.42</v>
      </c>
      <c r="G399" s="9">
        <f t="shared" si="6"/>
        <v>0.12883435582822086</v>
      </c>
    </row>
    <row r="400" spans="1:7" x14ac:dyDescent="0.25">
      <c r="A400" s="4">
        <v>4</v>
      </c>
      <c r="B400" s="5">
        <v>7</v>
      </c>
      <c r="C400" s="6">
        <v>39237</v>
      </c>
      <c r="D400" s="7">
        <v>1721</v>
      </c>
      <c r="E400" s="8">
        <f>VLOOKUP(B400,T.productos!$A$1:$E$15,4,0)</f>
        <v>0.97</v>
      </c>
      <c r="F400" s="8">
        <f>VLOOKUP(B400,T.productos!$A$1:$E$15,5,0)</f>
        <v>0.19</v>
      </c>
      <c r="G400" s="9">
        <f t="shared" si="6"/>
        <v>0.80412371134020622</v>
      </c>
    </row>
    <row r="401" spans="1:7" x14ac:dyDescent="0.25">
      <c r="A401" s="4">
        <v>1</v>
      </c>
      <c r="B401" s="5">
        <v>10</v>
      </c>
      <c r="C401" s="6">
        <v>39909</v>
      </c>
      <c r="D401" s="7">
        <v>1346</v>
      </c>
      <c r="E401" s="8">
        <f>VLOOKUP(B401,T.productos!$A$1:$E$15,4,0)</f>
        <v>0.61</v>
      </c>
      <c r="F401" s="8">
        <f>VLOOKUP(B401,T.productos!$A$1:$E$15,5,0)</f>
        <v>0.4</v>
      </c>
      <c r="G401" s="9">
        <f t="shared" si="6"/>
        <v>0.34426229508196721</v>
      </c>
    </row>
    <row r="402" spans="1:7" x14ac:dyDescent="0.25">
      <c r="A402" s="4">
        <v>4</v>
      </c>
      <c r="B402" s="5">
        <v>11</v>
      </c>
      <c r="C402" s="6">
        <v>39929</v>
      </c>
      <c r="D402" s="7">
        <v>777</v>
      </c>
      <c r="E402" s="8">
        <f>VLOOKUP(B402,T.productos!$A$1:$E$15,4,0)</f>
        <v>1.21</v>
      </c>
      <c r="F402" s="8">
        <f>VLOOKUP(B402,T.productos!$A$1:$E$15,5,0)</f>
        <v>0.72</v>
      </c>
      <c r="G402" s="9">
        <f t="shared" si="6"/>
        <v>0.4049586776859504</v>
      </c>
    </row>
    <row r="403" spans="1:7" x14ac:dyDescent="0.25">
      <c r="A403" s="4">
        <v>4</v>
      </c>
      <c r="B403" s="5">
        <v>10</v>
      </c>
      <c r="C403" s="6">
        <v>38473</v>
      </c>
      <c r="D403" s="7">
        <v>921</v>
      </c>
      <c r="E403" s="8">
        <f>VLOOKUP(B403,T.productos!$A$1:$E$15,4,0)</f>
        <v>0.61</v>
      </c>
      <c r="F403" s="8">
        <f>VLOOKUP(B403,T.productos!$A$1:$E$15,5,0)</f>
        <v>0.4</v>
      </c>
      <c r="G403" s="9">
        <f t="shared" si="6"/>
        <v>0.34426229508196721</v>
      </c>
    </row>
    <row r="404" spans="1:7" x14ac:dyDescent="0.25">
      <c r="A404" s="4">
        <v>3</v>
      </c>
      <c r="B404" s="5">
        <v>9</v>
      </c>
      <c r="C404" s="6">
        <v>38939</v>
      </c>
      <c r="D404" s="7">
        <v>1756</v>
      </c>
      <c r="E404" s="8">
        <f>VLOOKUP(B404,T.productos!$A$1:$E$15,4,0)</f>
        <v>1.21</v>
      </c>
      <c r="F404" s="8">
        <f>VLOOKUP(B404,T.productos!$A$1:$E$15,5,0)</f>
        <v>0.36</v>
      </c>
      <c r="G404" s="9">
        <f t="shared" si="6"/>
        <v>0.7024793388429752</v>
      </c>
    </row>
    <row r="405" spans="1:7" x14ac:dyDescent="0.25">
      <c r="A405" s="4">
        <v>5</v>
      </c>
      <c r="B405" s="5">
        <v>6</v>
      </c>
      <c r="C405" s="6">
        <v>38162</v>
      </c>
      <c r="D405" s="7">
        <v>2576</v>
      </c>
      <c r="E405" s="8">
        <f>VLOOKUP(B405,T.productos!$A$1:$E$15,4,0)</f>
        <v>2.42</v>
      </c>
      <c r="F405" s="8">
        <f>VLOOKUP(B405,T.productos!$A$1:$E$15,5,0)</f>
        <v>2.2799999999999998</v>
      </c>
      <c r="G405" s="9">
        <f t="shared" si="6"/>
        <v>5.7851239669421489E-2</v>
      </c>
    </row>
    <row r="406" spans="1:7" x14ac:dyDescent="0.25">
      <c r="A406" s="4">
        <v>5</v>
      </c>
      <c r="B406" s="5">
        <v>10</v>
      </c>
      <c r="C406" s="6">
        <v>39257</v>
      </c>
      <c r="D406" s="7">
        <v>1575</v>
      </c>
      <c r="E406" s="8">
        <f>VLOOKUP(B406,T.productos!$A$1:$E$15,4,0)</f>
        <v>0.61</v>
      </c>
      <c r="F406" s="8">
        <f>VLOOKUP(B406,T.productos!$A$1:$E$15,5,0)</f>
        <v>0.4</v>
      </c>
      <c r="G406" s="9">
        <f t="shared" si="6"/>
        <v>0.34426229508196721</v>
      </c>
    </row>
    <row r="407" spans="1:7" x14ac:dyDescent="0.25">
      <c r="A407" s="4">
        <v>2</v>
      </c>
      <c r="B407" s="5">
        <v>10</v>
      </c>
      <c r="C407" s="6">
        <v>39873</v>
      </c>
      <c r="D407" s="7">
        <v>2453</v>
      </c>
      <c r="E407" s="8">
        <f>VLOOKUP(B407,T.productos!$A$1:$E$15,4,0)</f>
        <v>0.61</v>
      </c>
      <c r="F407" s="8">
        <f>VLOOKUP(B407,T.productos!$A$1:$E$15,5,0)</f>
        <v>0.4</v>
      </c>
      <c r="G407" s="9">
        <f t="shared" si="6"/>
        <v>0.34426229508196721</v>
      </c>
    </row>
    <row r="408" spans="1:7" x14ac:dyDescent="0.25">
      <c r="A408" s="4">
        <v>1</v>
      </c>
      <c r="B408" s="5">
        <v>14</v>
      </c>
      <c r="C408" s="6">
        <v>38951</v>
      </c>
      <c r="D408" s="7">
        <v>1024</v>
      </c>
      <c r="E408" s="8">
        <f>VLOOKUP(B408,T.productos!$A$1:$E$15,4,0)</f>
        <v>3.63</v>
      </c>
      <c r="F408" s="8">
        <f>VLOOKUP(B408,T.productos!$A$1:$E$15,5,0)</f>
        <v>3.2</v>
      </c>
      <c r="G408" s="9">
        <f t="shared" si="6"/>
        <v>0.1184573002754821</v>
      </c>
    </row>
    <row r="409" spans="1:7" x14ac:dyDescent="0.25">
      <c r="A409" s="4">
        <v>3</v>
      </c>
      <c r="B409" s="5">
        <v>1</v>
      </c>
      <c r="C409" s="6">
        <v>39347</v>
      </c>
      <c r="D409" s="7">
        <v>510</v>
      </c>
      <c r="E409" s="8">
        <f>VLOOKUP(B409,T.productos!$A$1:$E$15,4,0)</f>
        <v>3.93</v>
      </c>
      <c r="F409" s="8">
        <f>VLOOKUP(B409,T.productos!$A$1:$E$15,5,0)</f>
        <v>3.4</v>
      </c>
      <c r="G409" s="9">
        <f t="shared" si="6"/>
        <v>0.13486005089058525</v>
      </c>
    </row>
    <row r="410" spans="1:7" x14ac:dyDescent="0.25">
      <c r="A410" s="4">
        <v>4</v>
      </c>
      <c r="B410" s="5">
        <v>5</v>
      </c>
      <c r="C410" s="6">
        <v>39395</v>
      </c>
      <c r="D410" s="7">
        <v>1110</v>
      </c>
      <c r="E410" s="8">
        <f>VLOOKUP(B410,T.productos!$A$1:$E$15,4,0)</f>
        <v>2.54</v>
      </c>
      <c r="F410" s="8">
        <f>VLOOKUP(B410,T.productos!$A$1:$E$15,5,0)</f>
        <v>2.2799999999999998</v>
      </c>
      <c r="G410" s="9">
        <f t="shared" si="6"/>
        <v>0.10236220472440945</v>
      </c>
    </row>
    <row r="411" spans="1:7" x14ac:dyDescent="0.25">
      <c r="A411" s="4">
        <v>2</v>
      </c>
      <c r="B411" s="5">
        <v>1</v>
      </c>
      <c r="C411" s="6">
        <v>38972</v>
      </c>
      <c r="D411" s="7">
        <v>2426</v>
      </c>
      <c r="E411" s="8">
        <f>VLOOKUP(B411,T.productos!$A$1:$E$15,4,0)</f>
        <v>3.93</v>
      </c>
      <c r="F411" s="8">
        <f>VLOOKUP(B411,T.productos!$A$1:$E$15,5,0)</f>
        <v>3.4</v>
      </c>
      <c r="G411" s="9">
        <f t="shared" si="6"/>
        <v>0.13486005089058525</v>
      </c>
    </row>
    <row r="412" spans="1:7" x14ac:dyDescent="0.25">
      <c r="A412" s="4">
        <v>1</v>
      </c>
      <c r="B412" s="5">
        <v>11</v>
      </c>
      <c r="C412" s="6">
        <v>39902</v>
      </c>
      <c r="D412" s="7">
        <v>2711</v>
      </c>
      <c r="E412" s="8">
        <f>VLOOKUP(B412,T.productos!$A$1:$E$15,4,0)</f>
        <v>1.21</v>
      </c>
      <c r="F412" s="8">
        <f>VLOOKUP(B412,T.productos!$A$1:$E$15,5,0)</f>
        <v>0.72</v>
      </c>
      <c r="G412" s="9">
        <f t="shared" si="6"/>
        <v>0.4049586776859504</v>
      </c>
    </row>
    <row r="413" spans="1:7" x14ac:dyDescent="0.25">
      <c r="A413" s="4">
        <v>5</v>
      </c>
      <c r="B413" s="5">
        <v>14</v>
      </c>
      <c r="C413" s="6">
        <v>38499</v>
      </c>
      <c r="D413" s="7">
        <v>1589</v>
      </c>
      <c r="E413" s="8">
        <f>VLOOKUP(B413,T.productos!$A$1:$E$15,4,0)</f>
        <v>3.63</v>
      </c>
      <c r="F413" s="8">
        <f>VLOOKUP(B413,T.productos!$A$1:$E$15,5,0)</f>
        <v>3.2</v>
      </c>
      <c r="G413" s="9">
        <f t="shared" si="6"/>
        <v>0.1184573002754821</v>
      </c>
    </row>
    <row r="414" spans="1:7" x14ac:dyDescent="0.25">
      <c r="A414" s="4">
        <v>3</v>
      </c>
      <c r="B414" s="5">
        <v>13</v>
      </c>
      <c r="C414" s="6">
        <v>39727</v>
      </c>
      <c r="D414" s="7">
        <v>1582</v>
      </c>
      <c r="E414" s="8">
        <f>VLOOKUP(B414,T.productos!$A$1:$E$15,4,0)</f>
        <v>0.24</v>
      </c>
      <c r="F414" s="8">
        <f>VLOOKUP(B414,T.productos!$A$1:$E$15,5,0)</f>
        <v>0.12</v>
      </c>
      <c r="G414" s="9">
        <f t="shared" si="6"/>
        <v>0.5</v>
      </c>
    </row>
    <row r="415" spans="1:7" x14ac:dyDescent="0.25">
      <c r="A415" s="4">
        <v>2</v>
      </c>
      <c r="B415" s="5">
        <v>2</v>
      </c>
      <c r="C415" s="6">
        <v>39452</v>
      </c>
      <c r="D415" s="7">
        <v>1304</v>
      </c>
      <c r="E415" s="8">
        <f>VLOOKUP(B415,T.productos!$A$1:$E$15,4,0)</f>
        <v>1.63</v>
      </c>
      <c r="F415" s="8">
        <f>VLOOKUP(B415,T.productos!$A$1:$E$15,5,0)</f>
        <v>1.42</v>
      </c>
      <c r="G415" s="9">
        <f t="shared" si="6"/>
        <v>0.12883435582822086</v>
      </c>
    </row>
    <row r="416" spans="1:7" x14ac:dyDescent="0.25">
      <c r="A416" s="4">
        <v>5</v>
      </c>
      <c r="B416" s="5">
        <v>4</v>
      </c>
      <c r="C416" s="6">
        <v>39760</v>
      </c>
      <c r="D416" s="7">
        <v>1672</v>
      </c>
      <c r="E416" s="8">
        <f>VLOOKUP(B416,T.productos!$A$1:$E$15,4,0)</f>
        <v>0.61</v>
      </c>
      <c r="F416" s="8">
        <f>VLOOKUP(B416,T.productos!$A$1:$E$15,5,0)</f>
        <v>0.28999999999999998</v>
      </c>
      <c r="G416" s="9">
        <f t="shared" si="6"/>
        <v>0.52459016393442626</v>
      </c>
    </row>
    <row r="417" spans="1:7" x14ac:dyDescent="0.25">
      <c r="A417" s="4">
        <v>1</v>
      </c>
      <c r="B417" s="5">
        <v>14</v>
      </c>
      <c r="C417" s="6">
        <v>38425</v>
      </c>
      <c r="D417" s="7">
        <v>2159</v>
      </c>
      <c r="E417" s="8">
        <f>VLOOKUP(B417,T.productos!$A$1:$E$15,4,0)</f>
        <v>3.63</v>
      </c>
      <c r="F417" s="8">
        <f>VLOOKUP(B417,T.productos!$A$1:$E$15,5,0)</f>
        <v>3.2</v>
      </c>
      <c r="G417" s="9">
        <f t="shared" si="6"/>
        <v>0.1184573002754821</v>
      </c>
    </row>
    <row r="418" spans="1:7" x14ac:dyDescent="0.25">
      <c r="A418" s="4">
        <v>5</v>
      </c>
      <c r="B418" s="5">
        <v>1</v>
      </c>
      <c r="C418" s="6">
        <v>39908</v>
      </c>
      <c r="D418" s="7">
        <v>2858</v>
      </c>
      <c r="E418" s="8">
        <f>VLOOKUP(B418,T.productos!$A$1:$E$15,4,0)</f>
        <v>3.93</v>
      </c>
      <c r="F418" s="8">
        <f>VLOOKUP(B418,T.productos!$A$1:$E$15,5,0)</f>
        <v>3.4</v>
      </c>
      <c r="G418" s="9">
        <f t="shared" si="6"/>
        <v>0.13486005089058525</v>
      </c>
    </row>
    <row r="419" spans="1:7" x14ac:dyDescent="0.25">
      <c r="A419" s="4">
        <v>1</v>
      </c>
      <c r="B419" s="5">
        <v>5</v>
      </c>
      <c r="C419" s="6">
        <v>39817</v>
      </c>
      <c r="D419" s="7">
        <v>2701</v>
      </c>
      <c r="E419" s="8">
        <f>VLOOKUP(B419,T.productos!$A$1:$E$15,4,0)</f>
        <v>2.54</v>
      </c>
      <c r="F419" s="8">
        <f>VLOOKUP(B419,T.productos!$A$1:$E$15,5,0)</f>
        <v>2.2799999999999998</v>
      </c>
      <c r="G419" s="9">
        <f t="shared" si="6"/>
        <v>0.10236220472440945</v>
      </c>
    </row>
    <row r="420" spans="1:7" x14ac:dyDescent="0.25">
      <c r="A420" s="4">
        <v>2</v>
      </c>
      <c r="B420" s="5">
        <v>10</v>
      </c>
      <c r="C420" s="6">
        <v>38098</v>
      </c>
      <c r="D420" s="7">
        <v>2764</v>
      </c>
      <c r="E420" s="8">
        <f>VLOOKUP(B420,T.productos!$A$1:$E$15,4,0)</f>
        <v>0.61</v>
      </c>
      <c r="F420" s="8">
        <f>VLOOKUP(B420,T.productos!$A$1:$E$15,5,0)</f>
        <v>0.4</v>
      </c>
      <c r="G420" s="9">
        <f t="shared" si="6"/>
        <v>0.34426229508196721</v>
      </c>
    </row>
    <row r="421" spans="1:7" x14ac:dyDescent="0.25">
      <c r="A421" s="4">
        <v>1</v>
      </c>
      <c r="B421" s="5">
        <v>2</v>
      </c>
      <c r="C421" s="6">
        <v>39442</v>
      </c>
      <c r="D421" s="7">
        <v>603</v>
      </c>
      <c r="E421" s="8">
        <f>VLOOKUP(B421,T.productos!$A$1:$E$15,4,0)</f>
        <v>1.63</v>
      </c>
      <c r="F421" s="8">
        <f>VLOOKUP(B421,T.productos!$A$1:$E$15,5,0)</f>
        <v>1.42</v>
      </c>
      <c r="G421" s="9">
        <f t="shared" si="6"/>
        <v>0.12883435582822086</v>
      </c>
    </row>
    <row r="422" spans="1:7" x14ac:dyDescent="0.25">
      <c r="A422" s="4">
        <v>3</v>
      </c>
      <c r="B422" s="5">
        <v>6</v>
      </c>
      <c r="C422" s="6">
        <v>39974</v>
      </c>
      <c r="D422" s="7">
        <v>716</v>
      </c>
      <c r="E422" s="8">
        <f>VLOOKUP(B422,T.productos!$A$1:$E$15,4,0)</f>
        <v>2.42</v>
      </c>
      <c r="F422" s="8">
        <f>VLOOKUP(B422,T.productos!$A$1:$E$15,5,0)</f>
        <v>2.2799999999999998</v>
      </c>
      <c r="G422" s="9">
        <f t="shared" si="6"/>
        <v>5.7851239669421489E-2</v>
      </c>
    </row>
    <row r="423" spans="1:7" x14ac:dyDescent="0.25">
      <c r="A423" s="4">
        <v>3</v>
      </c>
      <c r="B423" s="5">
        <v>5</v>
      </c>
      <c r="C423" s="6">
        <v>38812</v>
      </c>
      <c r="D423" s="7">
        <v>994</v>
      </c>
      <c r="E423" s="8">
        <f>VLOOKUP(B423,T.productos!$A$1:$E$15,4,0)</f>
        <v>2.54</v>
      </c>
      <c r="F423" s="8">
        <f>VLOOKUP(B423,T.productos!$A$1:$E$15,5,0)</f>
        <v>2.2799999999999998</v>
      </c>
      <c r="G423" s="9">
        <f t="shared" si="6"/>
        <v>0.10236220472440945</v>
      </c>
    </row>
    <row r="424" spans="1:7" x14ac:dyDescent="0.25">
      <c r="A424" s="4">
        <v>2</v>
      </c>
      <c r="B424" s="5">
        <v>12</v>
      </c>
      <c r="C424" s="6">
        <v>38239</v>
      </c>
      <c r="D424" s="7">
        <v>1400</v>
      </c>
      <c r="E424" s="8">
        <f>VLOOKUP(B424,T.productos!$A$1:$E$15,4,0)</f>
        <v>2.42</v>
      </c>
      <c r="F424" s="8">
        <f>VLOOKUP(B424,T.productos!$A$1:$E$15,5,0)</f>
        <v>1.68</v>
      </c>
      <c r="G424" s="9">
        <f t="shared" si="6"/>
        <v>0.30578512396694213</v>
      </c>
    </row>
    <row r="425" spans="1:7" x14ac:dyDescent="0.25">
      <c r="A425" s="4">
        <v>5</v>
      </c>
      <c r="B425" s="5">
        <v>6</v>
      </c>
      <c r="C425" s="6">
        <v>39659</v>
      </c>
      <c r="D425" s="7">
        <v>559</v>
      </c>
      <c r="E425" s="8">
        <f>VLOOKUP(B425,T.productos!$A$1:$E$15,4,0)</f>
        <v>2.42</v>
      </c>
      <c r="F425" s="8">
        <f>VLOOKUP(B425,T.productos!$A$1:$E$15,5,0)</f>
        <v>2.2799999999999998</v>
      </c>
      <c r="G425" s="9">
        <f t="shared" si="6"/>
        <v>5.7851239669421489E-2</v>
      </c>
    </row>
    <row r="426" spans="1:7" x14ac:dyDescent="0.25">
      <c r="A426" s="4">
        <v>1</v>
      </c>
      <c r="B426" s="5">
        <v>12</v>
      </c>
      <c r="C426" s="6">
        <v>38497</v>
      </c>
      <c r="D426" s="7">
        <v>1664</v>
      </c>
      <c r="E426" s="8">
        <f>VLOOKUP(B426,T.productos!$A$1:$E$15,4,0)</f>
        <v>2.42</v>
      </c>
      <c r="F426" s="8">
        <f>VLOOKUP(B426,T.productos!$A$1:$E$15,5,0)</f>
        <v>1.68</v>
      </c>
      <c r="G426" s="9">
        <f t="shared" si="6"/>
        <v>0.30578512396694213</v>
      </c>
    </row>
    <row r="427" spans="1:7" x14ac:dyDescent="0.25">
      <c r="A427" s="4">
        <v>2</v>
      </c>
      <c r="B427" s="5">
        <v>10</v>
      </c>
      <c r="C427" s="6">
        <v>38373</v>
      </c>
      <c r="D427" s="7">
        <v>2385</v>
      </c>
      <c r="E427" s="8">
        <f>VLOOKUP(B427,T.productos!$A$1:$E$15,4,0)</f>
        <v>0.61</v>
      </c>
      <c r="F427" s="8">
        <f>VLOOKUP(B427,T.productos!$A$1:$E$15,5,0)</f>
        <v>0.4</v>
      </c>
      <c r="G427" s="9">
        <f t="shared" si="6"/>
        <v>0.34426229508196721</v>
      </c>
    </row>
    <row r="428" spans="1:7" x14ac:dyDescent="0.25">
      <c r="A428" s="4">
        <v>1</v>
      </c>
      <c r="B428" s="5">
        <v>10</v>
      </c>
      <c r="C428" s="6">
        <v>38090</v>
      </c>
      <c r="D428" s="7">
        <v>446</v>
      </c>
      <c r="E428" s="8">
        <f>VLOOKUP(B428,T.productos!$A$1:$E$15,4,0)</f>
        <v>0.61</v>
      </c>
      <c r="F428" s="8">
        <f>VLOOKUP(B428,T.productos!$A$1:$E$15,5,0)</f>
        <v>0.4</v>
      </c>
      <c r="G428" s="9">
        <f t="shared" si="6"/>
        <v>0.34426229508196721</v>
      </c>
    </row>
    <row r="429" spans="1:7" x14ac:dyDescent="0.25">
      <c r="A429" s="4">
        <v>5</v>
      </c>
      <c r="B429" s="5">
        <v>8</v>
      </c>
      <c r="C429" s="6">
        <v>39530</v>
      </c>
      <c r="D429" s="7">
        <v>401</v>
      </c>
      <c r="E429" s="8">
        <f>VLOOKUP(B429,T.productos!$A$1:$E$15,4,0)</f>
        <v>3.63</v>
      </c>
      <c r="F429" s="8">
        <f>VLOOKUP(B429,T.productos!$A$1:$E$15,5,0)</f>
        <v>3.35</v>
      </c>
      <c r="G429" s="9">
        <f t="shared" si="6"/>
        <v>7.7134986225895319E-2</v>
      </c>
    </row>
    <row r="430" spans="1:7" x14ac:dyDescent="0.25">
      <c r="A430" s="4">
        <v>4</v>
      </c>
      <c r="B430" s="5">
        <v>2</v>
      </c>
      <c r="C430" s="6">
        <v>38075</v>
      </c>
      <c r="D430" s="7">
        <v>842</v>
      </c>
      <c r="E430" s="8">
        <f>VLOOKUP(B430,T.productos!$A$1:$E$15,4,0)</f>
        <v>1.63</v>
      </c>
      <c r="F430" s="8">
        <f>VLOOKUP(B430,T.productos!$A$1:$E$15,5,0)</f>
        <v>1.42</v>
      </c>
      <c r="G430" s="9">
        <f t="shared" si="6"/>
        <v>0.12883435582822086</v>
      </c>
    </row>
    <row r="431" spans="1:7" x14ac:dyDescent="0.25">
      <c r="A431" s="4">
        <v>3</v>
      </c>
      <c r="B431" s="5">
        <v>9</v>
      </c>
      <c r="C431" s="6">
        <v>39156</v>
      </c>
      <c r="D431" s="7">
        <v>2529</v>
      </c>
      <c r="E431" s="8">
        <f>VLOOKUP(B431,T.productos!$A$1:$E$15,4,0)</f>
        <v>1.21</v>
      </c>
      <c r="F431" s="8">
        <f>VLOOKUP(B431,T.productos!$A$1:$E$15,5,0)</f>
        <v>0.36</v>
      </c>
      <c r="G431" s="9">
        <f t="shared" si="6"/>
        <v>0.7024793388429752</v>
      </c>
    </row>
    <row r="432" spans="1:7" x14ac:dyDescent="0.25">
      <c r="A432" s="4">
        <v>2</v>
      </c>
      <c r="B432" s="5">
        <v>14</v>
      </c>
      <c r="C432" s="6">
        <v>39088</v>
      </c>
      <c r="D432" s="7">
        <v>1012</v>
      </c>
      <c r="E432" s="8">
        <f>VLOOKUP(B432,T.productos!$A$1:$E$15,4,0)</f>
        <v>3.63</v>
      </c>
      <c r="F432" s="8">
        <f>VLOOKUP(B432,T.productos!$A$1:$E$15,5,0)</f>
        <v>3.2</v>
      </c>
      <c r="G432" s="9">
        <f t="shared" si="6"/>
        <v>0.1184573002754821</v>
      </c>
    </row>
    <row r="433" spans="1:7" x14ac:dyDescent="0.25">
      <c r="A433" s="4">
        <v>4</v>
      </c>
      <c r="B433" s="5">
        <v>13</v>
      </c>
      <c r="C433" s="6">
        <v>38893</v>
      </c>
      <c r="D433" s="7">
        <v>440</v>
      </c>
      <c r="E433" s="8">
        <f>VLOOKUP(B433,T.productos!$A$1:$E$15,4,0)</f>
        <v>0.24</v>
      </c>
      <c r="F433" s="8">
        <f>VLOOKUP(B433,T.productos!$A$1:$E$15,5,0)</f>
        <v>0.12</v>
      </c>
      <c r="G433" s="9">
        <f t="shared" si="6"/>
        <v>0.5</v>
      </c>
    </row>
    <row r="434" spans="1:7" x14ac:dyDescent="0.25">
      <c r="A434" s="4">
        <v>3</v>
      </c>
      <c r="B434" s="5">
        <v>8</v>
      </c>
      <c r="C434" s="6">
        <v>38706</v>
      </c>
      <c r="D434" s="7">
        <v>1196</v>
      </c>
      <c r="E434" s="8">
        <f>VLOOKUP(B434,T.productos!$A$1:$E$15,4,0)</f>
        <v>3.63</v>
      </c>
      <c r="F434" s="8">
        <f>VLOOKUP(B434,T.productos!$A$1:$E$15,5,0)</f>
        <v>3.35</v>
      </c>
      <c r="G434" s="9">
        <f t="shared" si="6"/>
        <v>7.7134986225895319E-2</v>
      </c>
    </row>
    <row r="435" spans="1:7" x14ac:dyDescent="0.25">
      <c r="A435" s="4">
        <v>3</v>
      </c>
      <c r="B435" s="5">
        <v>1</v>
      </c>
      <c r="C435" s="6">
        <v>39776</v>
      </c>
      <c r="D435" s="7">
        <v>1917</v>
      </c>
      <c r="E435" s="8">
        <f>VLOOKUP(B435,T.productos!$A$1:$E$15,4,0)</f>
        <v>3.93</v>
      </c>
      <c r="F435" s="8">
        <f>VLOOKUP(B435,T.productos!$A$1:$E$15,5,0)</f>
        <v>3.4</v>
      </c>
      <c r="G435" s="9">
        <f t="shared" si="6"/>
        <v>0.13486005089058525</v>
      </c>
    </row>
    <row r="436" spans="1:7" x14ac:dyDescent="0.25">
      <c r="A436" s="4">
        <v>3</v>
      </c>
      <c r="B436" s="5">
        <v>10</v>
      </c>
      <c r="C436" s="6">
        <v>39333</v>
      </c>
      <c r="D436" s="7">
        <v>2296</v>
      </c>
      <c r="E436" s="8">
        <f>VLOOKUP(B436,T.productos!$A$1:$E$15,4,0)</f>
        <v>0.61</v>
      </c>
      <c r="F436" s="8">
        <f>VLOOKUP(B436,T.productos!$A$1:$E$15,5,0)</f>
        <v>0.4</v>
      </c>
      <c r="G436" s="9">
        <f t="shared" si="6"/>
        <v>0.34426229508196721</v>
      </c>
    </row>
    <row r="437" spans="1:7" x14ac:dyDescent="0.25">
      <c r="A437" s="4">
        <v>5</v>
      </c>
      <c r="B437" s="5">
        <v>9</v>
      </c>
      <c r="C437" s="6">
        <v>39579</v>
      </c>
      <c r="D437" s="7">
        <v>2047</v>
      </c>
      <c r="E437" s="8">
        <f>VLOOKUP(B437,T.productos!$A$1:$E$15,4,0)</f>
        <v>1.21</v>
      </c>
      <c r="F437" s="8">
        <f>VLOOKUP(B437,T.productos!$A$1:$E$15,5,0)</f>
        <v>0.36</v>
      </c>
      <c r="G437" s="9">
        <f t="shared" si="6"/>
        <v>0.7024793388429752</v>
      </c>
    </row>
    <row r="438" spans="1:7" x14ac:dyDescent="0.25">
      <c r="A438" s="4">
        <v>3</v>
      </c>
      <c r="B438" s="5">
        <v>4</v>
      </c>
      <c r="C438" s="6">
        <v>38970</v>
      </c>
      <c r="D438" s="7">
        <v>2724</v>
      </c>
      <c r="E438" s="8">
        <f>VLOOKUP(B438,T.productos!$A$1:$E$15,4,0)</f>
        <v>0.61</v>
      </c>
      <c r="F438" s="8">
        <f>VLOOKUP(B438,T.productos!$A$1:$E$15,5,0)</f>
        <v>0.28999999999999998</v>
      </c>
      <c r="G438" s="9">
        <f t="shared" si="6"/>
        <v>0.52459016393442626</v>
      </c>
    </row>
    <row r="439" spans="1:7" x14ac:dyDescent="0.25">
      <c r="A439" s="4">
        <v>1</v>
      </c>
      <c r="B439" s="5">
        <v>4</v>
      </c>
      <c r="C439" s="6">
        <v>38834</v>
      </c>
      <c r="D439" s="7">
        <v>2559</v>
      </c>
      <c r="E439" s="8">
        <f>VLOOKUP(B439,T.productos!$A$1:$E$15,4,0)</f>
        <v>0.61</v>
      </c>
      <c r="F439" s="8">
        <f>VLOOKUP(B439,T.productos!$A$1:$E$15,5,0)</f>
        <v>0.28999999999999998</v>
      </c>
      <c r="G439" s="9">
        <f t="shared" si="6"/>
        <v>0.52459016393442626</v>
      </c>
    </row>
    <row r="440" spans="1:7" x14ac:dyDescent="0.25">
      <c r="A440" s="4">
        <v>5</v>
      </c>
      <c r="B440" s="5">
        <v>8</v>
      </c>
      <c r="C440" s="6">
        <v>39064</v>
      </c>
      <c r="D440" s="7">
        <v>441</v>
      </c>
      <c r="E440" s="8">
        <f>VLOOKUP(B440,T.productos!$A$1:$E$15,4,0)</f>
        <v>3.63</v>
      </c>
      <c r="F440" s="8">
        <f>VLOOKUP(B440,T.productos!$A$1:$E$15,5,0)</f>
        <v>3.35</v>
      </c>
      <c r="G440" s="9">
        <f t="shared" si="6"/>
        <v>7.7134986225895319E-2</v>
      </c>
    </row>
    <row r="441" spans="1:7" x14ac:dyDescent="0.25">
      <c r="A441" s="4">
        <v>2</v>
      </c>
      <c r="B441" s="5">
        <v>2</v>
      </c>
      <c r="C441" s="6">
        <v>39526</v>
      </c>
      <c r="D441" s="7">
        <v>1235</v>
      </c>
      <c r="E441" s="8">
        <f>VLOOKUP(B441,T.productos!$A$1:$E$15,4,0)</f>
        <v>1.63</v>
      </c>
      <c r="F441" s="8">
        <f>VLOOKUP(B441,T.productos!$A$1:$E$15,5,0)</f>
        <v>1.42</v>
      </c>
      <c r="G441" s="9">
        <f t="shared" si="6"/>
        <v>0.12883435582822086</v>
      </c>
    </row>
    <row r="442" spans="1:7" x14ac:dyDescent="0.25">
      <c r="A442" s="4">
        <v>4</v>
      </c>
      <c r="B442" s="5">
        <v>12</v>
      </c>
      <c r="C442" s="6">
        <v>39370</v>
      </c>
      <c r="D442" s="7">
        <v>3000</v>
      </c>
      <c r="E442" s="8">
        <f>VLOOKUP(B442,T.productos!$A$1:$E$15,4,0)</f>
        <v>2.42</v>
      </c>
      <c r="F442" s="8">
        <f>VLOOKUP(B442,T.productos!$A$1:$E$15,5,0)</f>
        <v>1.68</v>
      </c>
      <c r="G442" s="9">
        <f t="shared" si="6"/>
        <v>0.30578512396694213</v>
      </c>
    </row>
    <row r="443" spans="1:7" x14ac:dyDescent="0.25">
      <c r="A443" s="4">
        <v>3</v>
      </c>
      <c r="B443" s="5">
        <v>8</v>
      </c>
      <c r="C443" s="6">
        <v>39799</v>
      </c>
      <c r="D443" s="7">
        <v>2636</v>
      </c>
      <c r="E443" s="8">
        <f>VLOOKUP(B443,T.productos!$A$1:$E$15,4,0)</f>
        <v>3.63</v>
      </c>
      <c r="F443" s="8">
        <f>VLOOKUP(B443,T.productos!$A$1:$E$15,5,0)</f>
        <v>3.35</v>
      </c>
      <c r="G443" s="9">
        <f t="shared" si="6"/>
        <v>7.7134986225895319E-2</v>
      </c>
    </row>
    <row r="444" spans="1:7" x14ac:dyDescent="0.25">
      <c r="A444" s="4">
        <v>5</v>
      </c>
      <c r="B444" s="5">
        <v>9</v>
      </c>
      <c r="C444" s="6">
        <v>38118</v>
      </c>
      <c r="D444" s="7">
        <v>1159</v>
      </c>
      <c r="E444" s="8">
        <f>VLOOKUP(B444,T.productos!$A$1:$E$15,4,0)</f>
        <v>1.21</v>
      </c>
      <c r="F444" s="8">
        <f>VLOOKUP(B444,T.productos!$A$1:$E$15,5,0)</f>
        <v>0.36</v>
      </c>
      <c r="G444" s="9">
        <f t="shared" si="6"/>
        <v>0.7024793388429752</v>
      </c>
    </row>
    <row r="445" spans="1:7" x14ac:dyDescent="0.25">
      <c r="A445" s="4">
        <v>5</v>
      </c>
      <c r="B445" s="5">
        <v>9</v>
      </c>
      <c r="C445" s="6">
        <v>38197</v>
      </c>
      <c r="D445" s="7">
        <v>866</v>
      </c>
      <c r="E445" s="8">
        <f>VLOOKUP(B445,T.productos!$A$1:$E$15,4,0)</f>
        <v>1.21</v>
      </c>
      <c r="F445" s="8">
        <f>VLOOKUP(B445,T.productos!$A$1:$E$15,5,0)</f>
        <v>0.36</v>
      </c>
      <c r="G445" s="9">
        <f t="shared" si="6"/>
        <v>0.7024793388429752</v>
      </c>
    </row>
    <row r="446" spans="1:7" x14ac:dyDescent="0.25">
      <c r="A446" s="4">
        <v>5</v>
      </c>
      <c r="B446" s="5">
        <v>5</v>
      </c>
      <c r="C446" s="6">
        <v>38521</v>
      </c>
      <c r="D446" s="7">
        <v>2255</v>
      </c>
      <c r="E446" s="8">
        <f>VLOOKUP(B446,T.productos!$A$1:$E$15,4,0)</f>
        <v>2.54</v>
      </c>
      <c r="F446" s="8">
        <f>VLOOKUP(B446,T.productos!$A$1:$E$15,5,0)</f>
        <v>2.2799999999999998</v>
      </c>
      <c r="G446" s="9">
        <f t="shared" si="6"/>
        <v>0.10236220472440945</v>
      </c>
    </row>
    <row r="447" spans="1:7" x14ac:dyDescent="0.25">
      <c r="A447" s="4">
        <v>5</v>
      </c>
      <c r="B447" s="5">
        <v>9</v>
      </c>
      <c r="C447" s="6">
        <v>39207</v>
      </c>
      <c r="D447" s="7">
        <v>1358</v>
      </c>
      <c r="E447" s="8">
        <f>VLOOKUP(B447,T.productos!$A$1:$E$15,4,0)</f>
        <v>1.21</v>
      </c>
      <c r="F447" s="8">
        <f>VLOOKUP(B447,T.productos!$A$1:$E$15,5,0)</f>
        <v>0.36</v>
      </c>
      <c r="G447" s="9">
        <f t="shared" si="6"/>
        <v>0.7024793388429752</v>
      </c>
    </row>
    <row r="448" spans="1:7" x14ac:dyDescent="0.25">
      <c r="A448" s="4">
        <v>4</v>
      </c>
      <c r="B448" s="5">
        <v>12</v>
      </c>
      <c r="C448" s="6">
        <v>38131</v>
      </c>
      <c r="D448" s="7">
        <v>1619</v>
      </c>
      <c r="E448" s="8">
        <f>VLOOKUP(B448,T.productos!$A$1:$E$15,4,0)</f>
        <v>2.42</v>
      </c>
      <c r="F448" s="8">
        <f>VLOOKUP(B448,T.productos!$A$1:$E$15,5,0)</f>
        <v>1.68</v>
      </c>
      <c r="G448" s="9">
        <f t="shared" si="6"/>
        <v>0.30578512396694213</v>
      </c>
    </row>
    <row r="449" spans="1:7" x14ac:dyDescent="0.25">
      <c r="A449" s="4">
        <v>5</v>
      </c>
      <c r="B449" s="5">
        <v>3</v>
      </c>
      <c r="C449" s="6">
        <v>38933</v>
      </c>
      <c r="D449" s="7">
        <v>465</v>
      </c>
      <c r="E449" s="8">
        <f>VLOOKUP(B449,T.productos!$A$1:$E$15,4,0)</f>
        <v>1.94</v>
      </c>
      <c r="F449" s="8">
        <f>VLOOKUP(B449,T.productos!$A$1:$E$15,5,0)</f>
        <v>1.89</v>
      </c>
      <c r="G449" s="9">
        <f t="shared" si="6"/>
        <v>2.5773195876288658E-2</v>
      </c>
    </row>
    <row r="450" spans="1:7" x14ac:dyDescent="0.25">
      <c r="A450" s="4">
        <v>2</v>
      </c>
      <c r="B450" s="5">
        <v>12</v>
      </c>
      <c r="C450" s="6">
        <v>38572</v>
      </c>
      <c r="D450" s="7">
        <v>2517</v>
      </c>
      <c r="E450" s="8">
        <f>VLOOKUP(B450,T.productos!$A$1:$E$15,4,0)</f>
        <v>2.42</v>
      </c>
      <c r="F450" s="8">
        <f>VLOOKUP(B450,T.productos!$A$1:$E$15,5,0)</f>
        <v>1.68</v>
      </c>
      <c r="G450" s="9">
        <f t="shared" ref="G450:G513" si="7">margen(D450,E450,F450)</f>
        <v>0.30578512396694213</v>
      </c>
    </row>
    <row r="451" spans="1:7" x14ac:dyDescent="0.25">
      <c r="A451" s="4">
        <v>1</v>
      </c>
      <c r="B451" s="5">
        <v>10</v>
      </c>
      <c r="C451" s="6">
        <v>39462</v>
      </c>
      <c r="D451" s="7">
        <v>2554</v>
      </c>
      <c r="E451" s="8">
        <f>VLOOKUP(B451,T.productos!$A$1:$E$15,4,0)</f>
        <v>0.61</v>
      </c>
      <c r="F451" s="8">
        <f>VLOOKUP(B451,T.productos!$A$1:$E$15,5,0)</f>
        <v>0.4</v>
      </c>
      <c r="G451" s="9">
        <f t="shared" si="7"/>
        <v>0.34426229508196721</v>
      </c>
    </row>
    <row r="452" spans="1:7" x14ac:dyDescent="0.25">
      <c r="A452" s="4">
        <v>1</v>
      </c>
      <c r="B452" s="5">
        <v>13</v>
      </c>
      <c r="C452" s="6">
        <v>39089</v>
      </c>
      <c r="D452" s="7">
        <v>2503</v>
      </c>
      <c r="E452" s="8">
        <f>VLOOKUP(B452,T.productos!$A$1:$E$15,4,0)</f>
        <v>0.24</v>
      </c>
      <c r="F452" s="8">
        <f>VLOOKUP(B452,T.productos!$A$1:$E$15,5,0)</f>
        <v>0.12</v>
      </c>
      <c r="G452" s="9">
        <f t="shared" si="7"/>
        <v>0.5</v>
      </c>
    </row>
    <row r="453" spans="1:7" x14ac:dyDescent="0.25">
      <c r="A453" s="4">
        <v>1</v>
      </c>
      <c r="B453" s="5">
        <v>14</v>
      </c>
      <c r="C453" s="6">
        <v>38229</v>
      </c>
      <c r="D453" s="7">
        <v>2303</v>
      </c>
      <c r="E453" s="8">
        <f>VLOOKUP(B453,T.productos!$A$1:$E$15,4,0)</f>
        <v>3.63</v>
      </c>
      <c r="F453" s="8">
        <f>VLOOKUP(B453,T.productos!$A$1:$E$15,5,0)</f>
        <v>3.2</v>
      </c>
      <c r="G453" s="9">
        <f t="shared" si="7"/>
        <v>0.1184573002754821</v>
      </c>
    </row>
    <row r="454" spans="1:7" x14ac:dyDescent="0.25">
      <c r="A454" s="4">
        <v>3</v>
      </c>
      <c r="B454" s="5">
        <v>6</v>
      </c>
      <c r="C454" s="6">
        <v>38094</v>
      </c>
      <c r="D454" s="7">
        <v>1970</v>
      </c>
      <c r="E454" s="8">
        <f>VLOOKUP(B454,T.productos!$A$1:$E$15,4,0)</f>
        <v>2.42</v>
      </c>
      <c r="F454" s="8">
        <f>VLOOKUP(B454,T.productos!$A$1:$E$15,5,0)</f>
        <v>2.2799999999999998</v>
      </c>
      <c r="G454" s="9">
        <f t="shared" si="7"/>
        <v>5.7851239669421489E-2</v>
      </c>
    </row>
    <row r="455" spans="1:7" x14ac:dyDescent="0.25">
      <c r="A455" s="4">
        <v>1</v>
      </c>
      <c r="B455" s="5">
        <v>13</v>
      </c>
      <c r="C455" s="6">
        <v>39706</v>
      </c>
      <c r="D455" s="7">
        <v>2695</v>
      </c>
      <c r="E455" s="8">
        <f>VLOOKUP(B455,T.productos!$A$1:$E$15,4,0)</f>
        <v>0.24</v>
      </c>
      <c r="F455" s="8">
        <f>VLOOKUP(B455,T.productos!$A$1:$E$15,5,0)</f>
        <v>0.12</v>
      </c>
      <c r="G455" s="9">
        <f t="shared" si="7"/>
        <v>0.5</v>
      </c>
    </row>
    <row r="456" spans="1:7" x14ac:dyDescent="0.25">
      <c r="A456" s="4">
        <v>3</v>
      </c>
      <c r="B456" s="5">
        <v>3</v>
      </c>
      <c r="C456" s="6">
        <v>38463</v>
      </c>
      <c r="D456" s="7">
        <v>1182</v>
      </c>
      <c r="E456" s="8">
        <f>VLOOKUP(B456,T.productos!$A$1:$E$15,4,0)</f>
        <v>1.94</v>
      </c>
      <c r="F456" s="8">
        <f>VLOOKUP(B456,T.productos!$A$1:$E$15,5,0)</f>
        <v>1.89</v>
      </c>
      <c r="G456" s="9">
        <f t="shared" si="7"/>
        <v>2.5773195876288658E-2</v>
      </c>
    </row>
    <row r="457" spans="1:7" x14ac:dyDescent="0.25">
      <c r="A457" s="4">
        <v>2</v>
      </c>
      <c r="B457" s="5">
        <v>5</v>
      </c>
      <c r="C457" s="6">
        <v>39699</v>
      </c>
      <c r="D457" s="7">
        <v>1483</v>
      </c>
      <c r="E457" s="8">
        <f>VLOOKUP(B457,T.productos!$A$1:$E$15,4,0)</f>
        <v>2.54</v>
      </c>
      <c r="F457" s="8">
        <f>VLOOKUP(B457,T.productos!$A$1:$E$15,5,0)</f>
        <v>2.2799999999999998</v>
      </c>
      <c r="G457" s="9">
        <f t="shared" si="7"/>
        <v>0.10236220472440945</v>
      </c>
    </row>
    <row r="458" spans="1:7" x14ac:dyDescent="0.25">
      <c r="A458" s="4">
        <v>4</v>
      </c>
      <c r="B458" s="5">
        <v>9</v>
      </c>
      <c r="C458" s="6">
        <v>38547</v>
      </c>
      <c r="D458" s="7">
        <v>2430</v>
      </c>
      <c r="E458" s="8">
        <f>VLOOKUP(B458,T.productos!$A$1:$E$15,4,0)</f>
        <v>1.21</v>
      </c>
      <c r="F458" s="8">
        <f>VLOOKUP(B458,T.productos!$A$1:$E$15,5,0)</f>
        <v>0.36</v>
      </c>
      <c r="G458" s="9">
        <f t="shared" si="7"/>
        <v>0.7024793388429752</v>
      </c>
    </row>
    <row r="459" spans="1:7" x14ac:dyDescent="0.25">
      <c r="A459" s="4">
        <v>5</v>
      </c>
      <c r="B459" s="5">
        <v>1</v>
      </c>
      <c r="C459" s="6">
        <v>38197</v>
      </c>
      <c r="D459" s="7">
        <v>1840</v>
      </c>
      <c r="E459" s="8">
        <f>VLOOKUP(B459,T.productos!$A$1:$E$15,4,0)</f>
        <v>3.93</v>
      </c>
      <c r="F459" s="8">
        <f>VLOOKUP(B459,T.productos!$A$1:$E$15,5,0)</f>
        <v>3.4</v>
      </c>
      <c r="G459" s="9">
        <f t="shared" si="7"/>
        <v>0.13486005089058525</v>
      </c>
    </row>
    <row r="460" spans="1:7" x14ac:dyDescent="0.25">
      <c r="A460" s="4">
        <v>2</v>
      </c>
      <c r="B460" s="5">
        <v>10</v>
      </c>
      <c r="C460" s="6">
        <v>38935</v>
      </c>
      <c r="D460" s="7">
        <v>969</v>
      </c>
      <c r="E460" s="8">
        <f>VLOOKUP(B460,T.productos!$A$1:$E$15,4,0)</f>
        <v>0.61</v>
      </c>
      <c r="F460" s="8">
        <f>VLOOKUP(B460,T.productos!$A$1:$E$15,5,0)</f>
        <v>0.4</v>
      </c>
      <c r="G460" s="9">
        <f t="shared" si="7"/>
        <v>0.34426229508196721</v>
      </c>
    </row>
    <row r="461" spans="1:7" x14ac:dyDescent="0.25">
      <c r="A461" s="4">
        <v>3</v>
      </c>
      <c r="B461" s="5">
        <v>12</v>
      </c>
      <c r="C461" s="6">
        <v>39163</v>
      </c>
      <c r="D461" s="7">
        <v>985</v>
      </c>
      <c r="E461" s="8">
        <f>VLOOKUP(B461,T.productos!$A$1:$E$15,4,0)</f>
        <v>2.42</v>
      </c>
      <c r="F461" s="8">
        <f>VLOOKUP(B461,T.productos!$A$1:$E$15,5,0)</f>
        <v>1.68</v>
      </c>
      <c r="G461" s="9">
        <f t="shared" si="7"/>
        <v>0.30578512396694213</v>
      </c>
    </row>
    <row r="462" spans="1:7" x14ac:dyDescent="0.25">
      <c r="A462" s="4">
        <v>4</v>
      </c>
      <c r="B462" s="5">
        <v>8</v>
      </c>
      <c r="C462" s="6">
        <v>38848</v>
      </c>
      <c r="D462" s="7">
        <v>1994</v>
      </c>
      <c r="E462" s="8">
        <f>VLOOKUP(B462,T.productos!$A$1:$E$15,4,0)</f>
        <v>3.63</v>
      </c>
      <c r="F462" s="8">
        <f>VLOOKUP(B462,T.productos!$A$1:$E$15,5,0)</f>
        <v>3.35</v>
      </c>
      <c r="G462" s="9">
        <f t="shared" si="7"/>
        <v>7.7134986225895319E-2</v>
      </c>
    </row>
    <row r="463" spans="1:7" x14ac:dyDescent="0.25">
      <c r="A463" s="4">
        <v>5</v>
      </c>
      <c r="B463" s="5">
        <v>3</v>
      </c>
      <c r="C463" s="6">
        <v>39234</v>
      </c>
      <c r="D463" s="7">
        <v>2526</v>
      </c>
      <c r="E463" s="8">
        <f>VLOOKUP(B463,T.productos!$A$1:$E$15,4,0)</f>
        <v>1.94</v>
      </c>
      <c r="F463" s="8">
        <f>VLOOKUP(B463,T.productos!$A$1:$E$15,5,0)</f>
        <v>1.89</v>
      </c>
      <c r="G463" s="9">
        <f t="shared" si="7"/>
        <v>2.5773195876288658E-2</v>
      </c>
    </row>
    <row r="464" spans="1:7" x14ac:dyDescent="0.25">
      <c r="A464" s="4">
        <v>4</v>
      </c>
      <c r="B464" s="5">
        <v>11</v>
      </c>
      <c r="C464" s="6">
        <v>39606</v>
      </c>
      <c r="D464" s="7">
        <v>1539</v>
      </c>
      <c r="E464" s="8">
        <f>VLOOKUP(B464,T.productos!$A$1:$E$15,4,0)</f>
        <v>1.21</v>
      </c>
      <c r="F464" s="8">
        <f>VLOOKUP(B464,T.productos!$A$1:$E$15,5,0)</f>
        <v>0.72</v>
      </c>
      <c r="G464" s="9">
        <f t="shared" si="7"/>
        <v>0.4049586776859504</v>
      </c>
    </row>
    <row r="465" spans="1:7" x14ac:dyDescent="0.25">
      <c r="A465" s="4">
        <v>1</v>
      </c>
      <c r="B465" s="5">
        <v>7</v>
      </c>
      <c r="C465" s="6">
        <v>38261</v>
      </c>
      <c r="D465" s="7">
        <v>2742</v>
      </c>
      <c r="E465" s="8">
        <f>VLOOKUP(B465,T.productos!$A$1:$E$15,4,0)</f>
        <v>0.97</v>
      </c>
      <c r="F465" s="8">
        <f>VLOOKUP(B465,T.productos!$A$1:$E$15,5,0)</f>
        <v>0.19</v>
      </c>
      <c r="G465" s="9">
        <f t="shared" si="7"/>
        <v>0.80412371134020622</v>
      </c>
    </row>
    <row r="466" spans="1:7" x14ac:dyDescent="0.25">
      <c r="A466" s="4">
        <v>5</v>
      </c>
      <c r="B466" s="5">
        <v>1</v>
      </c>
      <c r="C466" s="6">
        <v>39500</v>
      </c>
      <c r="D466" s="7">
        <v>729</v>
      </c>
      <c r="E466" s="8">
        <f>VLOOKUP(B466,T.productos!$A$1:$E$15,4,0)</f>
        <v>3.93</v>
      </c>
      <c r="F466" s="8">
        <f>VLOOKUP(B466,T.productos!$A$1:$E$15,5,0)</f>
        <v>3.4</v>
      </c>
      <c r="G466" s="9">
        <f t="shared" si="7"/>
        <v>0.13486005089058525</v>
      </c>
    </row>
    <row r="467" spans="1:7" x14ac:dyDescent="0.25">
      <c r="A467" s="4">
        <v>1</v>
      </c>
      <c r="B467" s="5">
        <v>13</v>
      </c>
      <c r="C467" s="6">
        <v>38566</v>
      </c>
      <c r="D467" s="7">
        <v>2173</v>
      </c>
      <c r="E467" s="8">
        <f>VLOOKUP(B467,T.productos!$A$1:$E$15,4,0)</f>
        <v>0.24</v>
      </c>
      <c r="F467" s="8">
        <f>VLOOKUP(B467,T.productos!$A$1:$E$15,5,0)</f>
        <v>0.12</v>
      </c>
      <c r="G467" s="9">
        <f t="shared" si="7"/>
        <v>0.5</v>
      </c>
    </row>
    <row r="468" spans="1:7" x14ac:dyDescent="0.25">
      <c r="A468" s="4">
        <v>5</v>
      </c>
      <c r="B468" s="5">
        <v>13</v>
      </c>
      <c r="C468" s="6">
        <v>38704</v>
      </c>
      <c r="D468" s="7">
        <v>664</v>
      </c>
      <c r="E468" s="8">
        <f>VLOOKUP(B468,T.productos!$A$1:$E$15,4,0)</f>
        <v>0.24</v>
      </c>
      <c r="F468" s="8">
        <f>VLOOKUP(B468,T.productos!$A$1:$E$15,5,0)</f>
        <v>0.12</v>
      </c>
      <c r="G468" s="9">
        <f t="shared" si="7"/>
        <v>0.5</v>
      </c>
    </row>
    <row r="469" spans="1:7" x14ac:dyDescent="0.25">
      <c r="A469" s="4">
        <v>1</v>
      </c>
      <c r="B469" s="5">
        <v>9</v>
      </c>
      <c r="C469" s="6">
        <v>38821</v>
      </c>
      <c r="D469" s="7">
        <v>588</v>
      </c>
      <c r="E469" s="8">
        <f>VLOOKUP(B469,T.productos!$A$1:$E$15,4,0)</f>
        <v>1.21</v>
      </c>
      <c r="F469" s="8">
        <f>VLOOKUP(B469,T.productos!$A$1:$E$15,5,0)</f>
        <v>0.36</v>
      </c>
      <c r="G469" s="9">
        <f t="shared" si="7"/>
        <v>0.7024793388429752</v>
      </c>
    </row>
    <row r="470" spans="1:7" x14ac:dyDescent="0.25">
      <c r="A470" s="4">
        <v>3</v>
      </c>
      <c r="B470" s="5">
        <v>9</v>
      </c>
      <c r="C470" s="6">
        <v>39716</v>
      </c>
      <c r="D470" s="7">
        <v>1885</v>
      </c>
      <c r="E470" s="8">
        <f>VLOOKUP(B470,T.productos!$A$1:$E$15,4,0)</f>
        <v>1.21</v>
      </c>
      <c r="F470" s="8">
        <f>VLOOKUP(B470,T.productos!$A$1:$E$15,5,0)</f>
        <v>0.36</v>
      </c>
      <c r="G470" s="9">
        <f t="shared" si="7"/>
        <v>0.7024793388429752</v>
      </c>
    </row>
    <row r="471" spans="1:7" x14ac:dyDescent="0.25">
      <c r="A471" s="4">
        <v>5</v>
      </c>
      <c r="B471" s="5">
        <v>10</v>
      </c>
      <c r="C471" s="6">
        <v>39075</v>
      </c>
      <c r="D471" s="7">
        <v>2261</v>
      </c>
      <c r="E471" s="8">
        <f>VLOOKUP(B471,T.productos!$A$1:$E$15,4,0)</f>
        <v>0.61</v>
      </c>
      <c r="F471" s="8">
        <f>VLOOKUP(B471,T.productos!$A$1:$E$15,5,0)</f>
        <v>0.4</v>
      </c>
      <c r="G471" s="9">
        <f t="shared" si="7"/>
        <v>0.34426229508196721</v>
      </c>
    </row>
    <row r="472" spans="1:7" x14ac:dyDescent="0.25">
      <c r="A472" s="4">
        <v>4</v>
      </c>
      <c r="B472" s="5">
        <v>9</v>
      </c>
      <c r="C472" s="6">
        <v>39218</v>
      </c>
      <c r="D472" s="7">
        <v>1061</v>
      </c>
      <c r="E472" s="8">
        <f>VLOOKUP(B472,T.productos!$A$1:$E$15,4,0)</f>
        <v>1.21</v>
      </c>
      <c r="F472" s="8">
        <f>VLOOKUP(B472,T.productos!$A$1:$E$15,5,0)</f>
        <v>0.36</v>
      </c>
      <c r="G472" s="9">
        <f t="shared" si="7"/>
        <v>0.7024793388429752</v>
      </c>
    </row>
    <row r="473" spans="1:7" x14ac:dyDescent="0.25">
      <c r="A473" s="4">
        <v>2</v>
      </c>
      <c r="B473" s="5">
        <v>13</v>
      </c>
      <c r="C473" s="6">
        <v>38611</v>
      </c>
      <c r="D473" s="7">
        <v>1321</v>
      </c>
      <c r="E473" s="8">
        <f>VLOOKUP(B473,T.productos!$A$1:$E$15,4,0)</f>
        <v>0.24</v>
      </c>
      <c r="F473" s="8">
        <f>VLOOKUP(B473,T.productos!$A$1:$E$15,5,0)</f>
        <v>0.12</v>
      </c>
      <c r="G473" s="9">
        <f t="shared" si="7"/>
        <v>0.5</v>
      </c>
    </row>
    <row r="474" spans="1:7" x14ac:dyDescent="0.25">
      <c r="A474" s="4">
        <v>3</v>
      </c>
      <c r="B474" s="5">
        <v>4</v>
      </c>
      <c r="C474" s="6">
        <v>39349</v>
      </c>
      <c r="D474" s="7">
        <v>1863</v>
      </c>
      <c r="E474" s="8">
        <f>VLOOKUP(B474,T.productos!$A$1:$E$15,4,0)</f>
        <v>0.61</v>
      </c>
      <c r="F474" s="8">
        <f>VLOOKUP(B474,T.productos!$A$1:$E$15,5,0)</f>
        <v>0.28999999999999998</v>
      </c>
      <c r="G474" s="9">
        <f t="shared" si="7"/>
        <v>0.52459016393442626</v>
      </c>
    </row>
    <row r="475" spans="1:7" x14ac:dyDescent="0.25">
      <c r="A475" s="4">
        <v>5</v>
      </c>
      <c r="B475" s="5">
        <v>11</v>
      </c>
      <c r="C475" s="6">
        <v>39547</v>
      </c>
      <c r="D475" s="7">
        <v>1030</v>
      </c>
      <c r="E475" s="8">
        <f>VLOOKUP(B475,T.productos!$A$1:$E$15,4,0)</f>
        <v>1.21</v>
      </c>
      <c r="F475" s="8">
        <f>VLOOKUP(B475,T.productos!$A$1:$E$15,5,0)</f>
        <v>0.72</v>
      </c>
      <c r="G475" s="9">
        <f t="shared" si="7"/>
        <v>0.4049586776859504</v>
      </c>
    </row>
    <row r="476" spans="1:7" x14ac:dyDescent="0.25">
      <c r="A476" s="4">
        <v>4</v>
      </c>
      <c r="B476" s="5">
        <v>1</v>
      </c>
      <c r="C476" s="6">
        <v>39570</v>
      </c>
      <c r="D476" s="7">
        <v>791</v>
      </c>
      <c r="E476" s="8">
        <f>VLOOKUP(B476,T.productos!$A$1:$E$15,4,0)</f>
        <v>3.93</v>
      </c>
      <c r="F476" s="8">
        <f>VLOOKUP(B476,T.productos!$A$1:$E$15,5,0)</f>
        <v>3.4</v>
      </c>
      <c r="G476" s="9">
        <f t="shared" si="7"/>
        <v>0.13486005089058525</v>
      </c>
    </row>
    <row r="477" spans="1:7" x14ac:dyDescent="0.25">
      <c r="A477" s="4">
        <v>1</v>
      </c>
      <c r="B477" s="5">
        <v>12</v>
      </c>
      <c r="C477" s="6">
        <v>39342</v>
      </c>
      <c r="D477" s="7">
        <v>630</v>
      </c>
      <c r="E477" s="8">
        <f>VLOOKUP(B477,T.productos!$A$1:$E$15,4,0)</f>
        <v>2.42</v>
      </c>
      <c r="F477" s="8">
        <f>VLOOKUP(B477,T.productos!$A$1:$E$15,5,0)</f>
        <v>1.68</v>
      </c>
      <c r="G477" s="9">
        <f t="shared" si="7"/>
        <v>0.30578512396694213</v>
      </c>
    </row>
    <row r="478" spans="1:7" x14ac:dyDescent="0.25">
      <c r="A478" s="4">
        <v>3</v>
      </c>
      <c r="B478" s="5">
        <v>13</v>
      </c>
      <c r="C478" s="6">
        <v>39107</v>
      </c>
      <c r="D478" s="7">
        <v>2050</v>
      </c>
      <c r="E478" s="8">
        <f>VLOOKUP(B478,T.productos!$A$1:$E$15,4,0)</f>
        <v>0.24</v>
      </c>
      <c r="F478" s="8">
        <f>VLOOKUP(B478,T.productos!$A$1:$E$15,5,0)</f>
        <v>0.12</v>
      </c>
      <c r="G478" s="9">
        <f t="shared" si="7"/>
        <v>0.5</v>
      </c>
    </row>
    <row r="479" spans="1:7" x14ac:dyDescent="0.25">
      <c r="A479" s="4">
        <v>5</v>
      </c>
      <c r="B479" s="5">
        <v>12</v>
      </c>
      <c r="C479" s="6">
        <v>39402</v>
      </c>
      <c r="D479" s="7">
        <v>1018</v>
      </c>
      <c r="E479" s="8">
        <f>VLOOKUP(B479,T.productos!$A$1:$E$15,4,0)</f>
        <v>2.42</v>
      </c>
      <c r="F479" s="8">
        <f>VLOOKUP(B479,T.productos!$A$1:$E$15,5,0)</f>
        <v>1.68</v>
      </c>
      <c r="G479" s="9">
        <f t="shared" si="7"/>
        <v>0.30578512396694213</v>
      </c>
    </row>
    <row r="480" spans="1:7" x14ac:dyDescent="0.25">
      <c r="A480" s="4">
        <v>5</v>
      </c>
      <c r="B480" s="5">
        <v>12</v>
      </c>
      <c r="C480" s="6">
        <v>38844</v>
      </c>
      <c r="D480" s="7">
        <v>2511</v>
      </c>
      <c r="E480" s="8">
        <f>VLOOKUP(B480,T.productos!$A$1:$E$15,4,0)</f>
        <v>2.42</v>
      </c>
      <c r="F480" s="8">
        <f>VLOOKUP(B480,T.productos!$A$1:$E$15,5,0)</f>
        <v>1.68</v>
      </c>
      <c r="G480" s="9">
        <f t="shared" si="7"/>
        <v>0.30578512396694213</v>
      </c>
    </row>
    <row r="481" spans="1:7" x14ac:dyDescent="0.25">
      <c r="A481" s="4">
        <v>5</v>
      </c>
      <c r="B481" s="5">
        <v>2</v>
      </c>
      <c r="C481" s="6">
        <v>38858</v>
      </c>
      <c r="D481" s="7">
        <v>327</v>
      </c>
      <c r="E481" s="8">
        <f>VLOOKUP(B481,T.productos!$A$1:$E$15,4,0)</f>
        <v>1.63</v>
      </c>
      <c r="F481" s="8">
        <f>VLOOKUP(B481,T.productos!$A$1:$E$15,5,0)</f>
        <v>1.42</v>
      </c>
      <c r="G481" s="9">
        <f t="shared" si="7"/>
        <v>0.12883435582822086</v>
      </c>
    </row>
    <row r="482" spans="1:7" x14ac:dyDescent="0.25">
      <c r="A482" s="4">
        <v>3</v>
      </c>
      <c r="B482" s="5">
        <v>9</v>
      </c>
      <c r="C482" s="6">
        <v>39247</v>
      </c>
      <c r="D482" s="7">
        <v>1927</v>
      </c>
      <c r="E482" s="8">
        <f>VLOOKUP(B482,T.productos!$A$1:$E$15,4,0)</f>
        <v>1.21</v>
      </c>
      <c r="F482" s="8">
        <f>VLOOKUP(B482,T.productos!$A$1:$E$15,5,0)</f>
        <v>0.36</v>
      </c>
      <c r="G482" s="9">
        <f t="shared" si="7"/>
        <v>0.7024793388429752</v>
      </c>
    </row>
    <row r="483" spans="1:7" x14ac:dyDescent="0.25">
      <c r="A483" s="4">
        <v>5</v>
      </c>
      <c r="B483" s="5">
        <v>11</v>
      </c>
      <c r="C483" s="6">
        <v>39107</v>
      </c>
      <c r="D483" s="7">
        <v>694</v>
      </c>
      <c r="E483" s="8">
        <f>VLOOKUP(B483,T.productos!$A$1:$E$15,4,0)</f>
        <v>1.21</v>
      </c>
      <c r="F483" s="8">
        <f>VLOOKUP(B483,T.productos!$A$1:$E$15,5,0)</f>
        <v>0.72</v>
      </c>
      <c r="G483" s="9">
        <f t="shared" si="7"/>
        <v>0.4049586776859504</v>
      </c>
    </row>
    <row r="484" spans="1:7" x14ac:dyDescent="0.25">
      <c r="A484" s="4">
        <v>3</v>
      </c>
      <c r="B484" s="5">
        <v>10</v>
      </c>
      <c r="C484" s="6">
        <v>39424</v>
      </c>
      <c r="D484" s="7">
        <v>856</v>
      </c>
      <c r="E484" s="8">
        <f>VLOOKUP(B484,T.productos!$A$1:$E$15,4,0)</f>
        <v>0.61</v>
      </c>
      <c r="F484" s="8">
        <f>VLOOKUP(B484,T.productos!$A$1:$E$15,5,0)</f>
        <v>0.4</v>
      </c>
      <c r="G484" s="9">
        <f t="shared" si="7"/>
        <v>0.34426229508196721</v>
      </c>
    </row>
    <row r="485" spans="1:7" x14ac:dyDescent="0.25">
      <c r="A485" s="4">
        <v>1</v>
      </c>
      <c r="B485" s="5">
        <v>9</v>
      </c>
      <c r="C485" s="6">
        <v>39142</v>
      </c>
      <c r="D485" s="7">
        <v>899</v>
      </c>
      <c r="E485" s="8">
        <f>VLOOKUP(B485,T.productos!$A$1:$E$15,4,0)</f>
        <v>1.21</v>
      </c>
      <c r="F485" s="8">
        <f>VLOOKUP(B485,T.productos!$A$1:$E$15,5,0)</f>
        <v>0.36</v>
      </c>
      <c r="G485" s="9">
        <f t="shared" si="7"/>
        <v>0.7024793388429752</v>
      </c>
    </row>
    <row r="486" spans="1:7" x14ac:dyDescent="0.25">
      <c r="A486" s="4">
        <v>1</v>
      </c>
      <c r="B486" s="5">
        <v>1</v>
      </c>
      <c r="C486" s="6">
        <v>39447</v>
      </c>
      <c r="D486" s="7">
        <v>2636</v>
      </c>
      <c r="E486" s="8">
        <f>VLOOKUP(B486,T.productos!$A$1:$E$15,4,0)</f>
        <v>3.93</v>
      </c>
      <c r="F486" s="8">
        <f>VLOOKUP(B486,T.productos!$A$1:$E$15,5,0)</f>
        <v>3.4</v>
      </c>
      <c r="G486" s="9">
        <f t="shared" si="7"/>
        <v>0.13486005089058525</v>
      </c>
    </row>
    <row r="487" spans="1:7" x14ac:dyDescent="0.25">
      <c r="A487" s="4">
        <v>5</v>
      </c>
      <c r="B487" s="5">
        <v>13</v>
      </c>
      <c r="C487" s="6">
        <v>39660</v>
      </c>
      <c r="D487" s="7">
        <v>2495</v>
      </c>
      <c r="E487" s="8">
        <f>VLOOKUP(B487,T.productos!$A$1:$E$15,4,0)</f>
        <v>0.24</v>
      </c>
      <c r="F487" s="8">
        <f>VLOOKUP(B487,T.productos!$A$1:$E$15,5,0)</f>
        <v>0.12</v>
      </c>
      <c r="G487" s="9">
        <f t="shared" si="7"/>
        <v>0.5</v>
      </c>
    </row>
    <row r="488" spans="1:7" x14ac:dyDescent="0.25">
      <c r="A488" s="4">
        <v>1</v>
      </c>
      <c r="B488" s="5">
        <v>10</v>
      </c>
      <c r="C488" s="6">
        <v>39008</v>
      </c>
      <c r="D488" s="7">
        <v>2958</v>
      </c>
      <c r="E488" s="8">
        <f>VLOOKUP(B488,T.productos!$A$1:$E$15,4,0)</f>
        <v>0.61</v>
      </c>
      <c r="F488" s="8">
        <f>VLOOKUP(B488,T.productos!$A$1:$E$15,5,0)</f>
        <v>0.4</v>
      </c>
      <c r="G488" s="9">
        <f t="shared" si="7"/>
        <v>0.34426229508196721</v>
      </c>
    </row>
    <row r="489" spans="1:7" x14ac:dyDescent="0.25">
      <c r="A489" s="4">
        <v>3</v>
      </c>
      <c r="B489" s="5">
        <v>2</v>
      </c>
      <c r="C489" s="6">
        <v>39097</v>
      </c>
      <c r="D489" s="7">
        <v>615</v>
      </c>
      <c r="E489" s="8">
        <f>VLOOKUP(B489,T.productos!$A$1:$E$15,4,0)</f>
        <v>1.63</v>
      </c>
      <c r="F489" s="8">
        <f>VLOOKUP(B489,T.productos!$A$1:$E$15,5,0)</f>
        <v>1.42</v>
      </c>
      <c r="G489" s="9">
        <f t="shared" si="7"/>
        <v>0.12883435582822086</v>
      </c>
    </row>
    <row r="490" spans="1:7" x14ac:dyDescent="0.25">
      <c r="A490" s="4">
        <v>3</v>
      </c>
      <c r="B490" s="5">
        <v>6</v>
      </c>
      <c r="C490" s="6">
        <v>38108</v>
      </c>
      <c r="D490" s="7">
        <v>2774</v>
      </c>
      <c r="E490" s="8">
        <f>VLOOKUP(B490,T.productos!$A$1:$E$15,4,0)</f>
        <v>2.42</v>
      </c>
      <c r="F490" s="8">
        <f>VLOOKUP(B490,T.productos!$A$1:$E$15,5,0)</f>
        <v>2.2799999999999998</v>
      </c>
      <c r="G490" s="9">
        <f t="shared" si="7"/>
        <v>5.7851239669421489E-2</v>
      </c>
    </row>
    <row r="491" spans="1:7" x14ac:dyDescent="0.25">
      <c r="A491" s="4">
        <v>1</v>
      </c>
      <c r="B491" s="5">
        <v>13</v>
      </c>
      <c r="C491" s="6">
        <v>39202</v>
      </c>
      <c r="D491" s="7">
        <v>1896</v>
      </c>
      <c r="E491" s="8">
        <f>VLOOKUP(B491,T.productos!$A$1:$E$15,4,0)</f>
        <v>0.24</v>
      </c>
      <c r="F491" s="8">
        <f>VLOOKUP(B491,T.productos!$A$1:$E$15,5,0)</f>
        <v>0.12</v>
      </c>
      <c r="G491" s="9">
        <f t="shared" si="7"/>
        <v>0.5</v>
      </c>
    </row>
    <row r="492" spans="1:7" x14ac:dyDescent="0.25">
      <c r="A492" s="4">
        <v>1</v>
      </c>
      <c r="B492" s="5">
        <v>1</v>
      </c>
      <c r="C492" s="6">
        <v>39781</v>
      </c>
      <c r="D492" s="7">
        <v>1476</v>
      </c>
      <c r="E492" s="8">
        <f>VLOOKUP(B492,T.productos!$A$1:$E$15,4,0)</f>
        <v>3.93</v>
      </c>
      <c r="F492" s="8">
        <f>VLOOKUP(B492,T.productos!$A$1:$E$15,5,0)</f>
        <v>3.4</v>
      </c>
      <c r="G492" s="9">
        <f t="shared" si="7"/>
        <v>0.13486005089058525</v>
      </c>
    </row>
    <row r="493" spans="1:7" x14ac:dyDescent="0.25">
      <c r="A493" s="4">
        <v>1</v>
      </c>
      <c r="B493" s="5">
        <v>5</v>
      </c>
      <c r="C493" s="6">
        <v>39682</v>
      </c>
      <c r="D493" s="7">
        <v>1156</v>
      </c>
      <c r="E493" s="8">
        <f>VLOOKUP(B493,T.productos!$A$1:$E$15,4,0)</f>
        <v>2.54</v>
      </c>
      <c r="F493" s="8">
        <f>VLOOKUP(B493,T.productos!$A$1:$E$15,5,0)</f>
        <v>2.2799999999999998</v>
      </c>
      <c r="G493" s="9">
        <f t="shared" si="7"/>
        <v>0.10236220472440945</v>
      </c>
    </row>
    <row r="494" spans="1:7" x14ac:dyDescent="0.25">
      <c r="A494" s="4">
        <v>5</v>
      </c>
      <c r="B494" s="5">
        <v>7</v>
      </c>
      <c r="C494" s="6">
        <v>39494</v>
      </c>
      <c r="D494" s="7">
        <v>2337</v>
      </c>
      <c r="E494" s="8">
        <f>VLOOKUP(B494,T.productos!$A$1:$E$15,4,0)</f>
        <v>0.97</v>
      </c>
      <c r="F494" s="8">
        <f>VLOOKUP(B494,T.productos!$A$1:$E$15,5,0)</f>
        <v>0.19</v>
      </c>
      <c r="G494" s="9">
        <f t="shared" si="7"/>
        <v>0.80412371134020622</v>
      </c>
    </row>
    <row r="495" spans="1:7" x14ac:dyDescent="0.25">
      <c r="A495" s="4">
        <v>1</v>
      </c>
      <c r="B495" s="5">
        <v>10</v>
      </c>
      <c r="C495" s="6">
        <v>38867</v>
      </c>
      <c r="D495" s="7">
        <v>1320</v>
      </c>
      <c r="E495" s="8">
        <f>VLOOKUP(B495,T.productos!$A$1:$E$15,4,0)</f>
        <v>0.61</v>
      </c>
      <c r="F495" s="8">
        <f>VLOOKUP(B495,T.productos!$A$1:$E$15,5,0)</f>
        <v>0.4</v>
      </c>
      <c r="G495" s="9">
        <f t="shared" si="7"/>
        <v>0.34426229508196721</v>
      </c>
    </row>
    <row r="496" spans="1:7" x14ac:dyDescent="0.25">
      <c r="A496" s="4">
        <v>4</v>
      </c>
      <c r="B496" s="5">
        <v>14</v>
      </c>
      <c r="C496" s="6">
        <v>38830</v>
      </c>
      <c r="D496" s="7">
        <v>1998</v>
      </c>
      <c r="E496" s="8">
        <f>VLOOKUP(B496,T.productos!$A$1:$E$15,4,0)</f>
        <v>3.63</v>
      </c>
      <c r="F496" s="8">
        <f>VLOOKUP(B496,T.productos!$A$1:$E$15,5,0)</f>
        <v>3.2</v>
      </c>
      <c r="G496" s="9">
        <f t="shared" si="7"/>
        <v>0.1184573002754821</v>
      </c>
    </row>
    <row r="497" spans="1:7" x14ac:dyDescent="0.25">
      <c r="A497" s="4">
        <v>5</v>
      </c>
      <c r="B497" s="5">
        <v>5</v>
      </c>
      <c r="C497" s="6">
        <v>38526</v>
      </c>
      <c r="D497" s="7">
        <v>1194</v>
      </c>
      <c r="E497" s="8">
        <f>VLOOKUP(B497,T.productos!$A$1:$E$15,4,0)</f>
        <v>2.54</v>
      </c>
      <c r="F497" s="8">
        <f>VLOOKUP(B497,T.productos!$A$1:$E$15,5,0)</f>
        <v>2.2799999999999998</v>
      </c>
      <c r="G497" s="9">
        <f t="shared" si="7"/>
        <v>0.10236220472440945</v>
      </c>
    </row>
    <row r="498" spans="1:7" x14ac:dyDescent="0.25">
      <c r="A498" s="4">
        <v>3</v>
      </c>
      <c r="B498" s="5">
        <v>5</v>
      </c>
      <c r="C498" s="6">
        <v>39920</v>
      </c>
      <c r="D498" s="7">
        <v>619</v>
      </c>
      <c r="E498" s="8">
        <f>VLOOKUP(B498,T.productos!$A$1:$E$15,4,0)</f>
        <v>2.54</v>
      </c>
      <c r="F498" s="8">
        <f>VLOOKUP(B498,T.productos!$A$1:$E$15,5,0)</f>
        <v>2.2799999999999998</v>
      </c>
      <c r="G498" s="9">
        <f t="shared" si="7"/>
        <v>0.10236220472440945</v>
      </c>
    </row>
    <row r="499" spans="1:7" x14ac:dyDescent="0.25">
      <c r="A499" s="4">
        <v>3</v>
      </c>
      <c r="B499" s="5">
        <v>6</v>
      </c>
      <c r="C499" s="6">
        <v>38310</v>
      </c>
      <c r="D499" s="7">
        <v>1238</v>
      </c>
      <c r="E499" s="8">
        <f>VLOOKUP(B499,T.productos!$A$1:$E$15,4,0)</f>
        <v>2.42</v>
      </c>
      <c r="F499" s="8">
        <f>VLOOKUP(B499,T.productos!$A$1:$E$15,5,0)</f>
        <v>2.2799999999999998</v>
      </c>
      <c r="G499" s="9">
        <f t="shared" si="7"/>
        <v>5.7851239669421489E-2</v>
      </c>
    </row>
    <row r="500" spans="1:7" x14ac:dyDescent="0.25">
      <c r="A500" s="4">
        <v>1</v>
      </c>
      <c r="B500" s="5">
        <v>14</v>
      </c>
      <c r="C500" s="6">
        <v>39612</v>
      </c>
      <c r="D500" s="7">
        <v>1932</v>
      </c>
      <c r="E500" s="8">
        <f>VLOOKUP(B500,T.productos!$A$1:$E$15,4,0)</f>
        <v>3.63</v>
      </c>
      <c r="F500" s="8">
        <f>VLOOKUP(B500,T.productos!$A$1:$E$15,5,0)</f>
        <v>3.2</v>
      </c>
      <c r="G500" s="9">
        <f t="shared" si="7"/>
        <v>0.1184573002754821</v>
      </c>
    </row>
    <row r="501" spans="1:7" x14ac:dyDescent="0.25">
      <c r="A501" s="4">
        <v>1</v>
      </c>
      <c r="B501" s="5">
        <v>3</v>
      </c>
      <c r="C501" s="6">
        <v>39800</v>
      </c>
      <c r="D501" s="7">
        <v>542</v>
      </c>
      <c r="E501" s="8">
        <f>VLOOKUP(B501,T.productos!$A$1:$E$15,4,0)</f>
        <v>1.94</v>
      </c>
      <c r="F501" s="8">
        <f>VLOOKUP(B501,T.productos!$A$1:$E$15,5,0)</f>
        <v>1.89</v>
      </c>
      <c r="G501" s="9">
        <f t="shared" si="7"/>
        <v>2.5773195876288658E-2</v>
      </c>
    </row>
    <row r="502" spans="1:7" x14ac:dyDescent="0.25">
      <c r="A502" s="4">
        <v>5</v>
      </c>
      <c r="B502" s="5">
        <v>4</v>
      </c>
      <c r="C502" s="6">
        <v>38868</v>
      </c>
      <c r="D502" s="7">
        <v>1772</v>
      </c>
      <c r="E502" s="8">
        <f>VLOOKUP(B502,T.productos!$A$1:$E$15,4,0)</f>
        <v>0.61</v>
      </c>
      <c r="F502" s="8">
        <f>VLOOKUP(B502,T.productos!$A$1:$E$15,5,0)</f>
        <v>0.28999999999999998</v>
      </c>
      <c r="G502" s="9">
        <f t="shared" si="7"/>
        <v>0.52459016393442626</v>
      </c>
    </row>
    <row r="503" spans="1:7" x14ac:dyDescent="0.25">
      <c r="A503" s="4">
        <v>3</v>
      </c>
      <c r="B503" s="5">
        <v>1</v>
      </c>
      <c r="C503" s="6">
        <v>38269</v>
      </c>
      <c r="D503" s="7">
        <v>1066</v>
      </c>
      <c r="E503" s="8">
        <f>VLOOKUP(B503,T.productos!$A$1:$E$15,4,0)</f>
        <v>3.93</v>
      </c>
      <c r="F503" s="8">
        <f>VLOOKUP(B503,T.productos!$A$1:$E$15,5,0)</f>
        <v>3.4</v>
      </c>
      <c r="G503" s="9">
        <f t="shared" si="7"/>
        <v>0.13486005089058525</v>
      </c>
    </row>
    <row r="504" spans="1:7" x14ac:dyDescent="0.25">
      <c r="A504" s="4">
        <v>2</v>
      </c>
      <c r="B504" s="5">
        <v>10</v>
      </c>
      <c r="C504" s="6">
        <v>38625</v>
      </c>
      <c r="D504" s="7">
        <v>2511</v>
      </c>
      <c r="E504" s="8">
        <f>VLOOKUP(B504,T.productos!$A$1:$E$15,4,0)</f>
        <v>0.61</v>
      </c>
      <c r="F504" s="8">
        <f>VLOOKUP(B504,T.productos!$A$1:$E$15,5,0)</f>
        <v>0.4</v>
      </c>
      <c r="G504" s="9">
        <f t="shared" si="7"/>
        <v>0.34426229508196721</v>
      </c>
    </row>
    <row r="505" spans="1:7" x14ac:dyDescent="0.25">
      <c r="A505" s="4">
        <v>2</v>
      </c>
      <c r="B505" s="5">
        <v>12</v>
      </c>
      <c r="C505" s="6">
        <v>39186</v>
      </c>
      <c r="D505" s="7">
        <v>2678</v>
      </c>
      <c r="E505" s="8">
        <f>VLOOKUP(B505,T.productos!$A$1:$E$15,4,0)</f>
        <v>2.42</v>
      </c>
      <c r="F505" s="8">
        <f>VLOOKUP(B505,T.productos!$A$1:$E$15,5,0)</f>
        <v>1.68</v>
      </c>
      <c r="G505" s="9">
        <f t="shared" si="7"/>
        <v>0.30578512396694213</v>
      </c>
    </row>
    <row r="506" spans="1:7" x14ac:dyDescent="0.25">
      <c r="A506" s="4">
        <v>1</v>
      </c>
      <c r="B506" s="5">
        <v>9</v>
      </c>
      <c r="C506" s="6">
        <v>39788</v>
      </c>
      <c r="D506" s="7">
        <v>1280</v>
      </c>
      <c r="E506" s="8">
        <f>VLOOKUP(B506,T.productos!$A$1:$E$15,4,0)</f>
        <v>1.21</v>
      </c>
      <c r="F506" s="8">
        <f>VLOOKUP(B506,T.productos!$A$1:$E$15,5,0)</f>
        <v>0.36</v>
      </c>
      <c r="G506" s="9">
        <f t="shared" si="7"/>
        <v>0.7024793388429752</v>
      </c>
    </row>
    <row r="507" spans="1:7" x14ac:dyDescent="0.25">
      <c r="A507" s="4">
        <v>1</v>
      </c>
      <c r="B507" s="5">
        <v>4</v>
      </c>
      <c r="C507" s="6">
        <v>39221</v>
      </c>
      <c r="D507" s="7">
        <v>2076</v>
      </c>
      <c r="E507" s="8">
        <f>VLOOKUP(B507,T.productos!$A$1:$E$15,4,0)</f>
        <v>0.61</v>
      </c>
      <c r="F507" s="8">
        <f>VLOOKUP(B507,T.productos!$A$1:$E$15,5,0)</f>
        <v>0.28999999999999998</v>
      </c>
      <c r="G507" s="9">
        <f t="shared" si="7"/>
        <v>0.52459016393442626</v>
      </c>
    </row>
    <row r="508" spans="1:7" x14ac:dyDescent="0.25">
      <c r="A508" s="4">
        <v>5</v>
      </c>
      <c r="B508" s="5">
        <v>12</v>
      </c>
      <c r="C508" s="6">
        <v>38690</v>
      </c>
      <c r="D508" s="7">
        <v>721</v>
      </c>
      <c r="E508" s="8">
        <f>VLOOKUP(B508,T.productos!$A$1:$E$15,4,0)</f>
        <v>2.42</v>
      </c>
      <c r="F508" s="8">
        <f>VLOOKUP(B508,T.productos!$A$1:$E$15,5,0)</f>
        <v>1.68</v>
      </c>
      <c r="G508" s="9">
        <f t="shared" si="7"/>
        <v>0.30578512396694213</v>
      </c>
    </row>
    <row r="509" spans="1:7" x14ac:dyDescent="0.25">
      <c r="A509" s="4">
        <v>4</v>
      </c>
      <c r="B509" s="5">
        <v>11</v>
      </c>
      <c r="C509" s="6">
        <v>38993</v>
      </c>
      <c r="D509" s="7">
        <v>506</v>
      </c>
      <c r="E509" s="8">
        <f>VLOOKUP(B509,T.productos!$A$1:$E$15,4,0)</f>
        <v>1.21</v>
      </c>
      <c r="F509" s="8">
        <f>VLOOKUP(B509,T.productos!$A$1:$E$15,5,0)</f>
        <v>0.72</v>
      </c>
      <c r="G509" s="9">
        <f t="shared" si="7"/>
        <v>0.4049586776859504</v>
      </c>
    </row>
    <row r="510" spans="1:7" x14ac:dyDescent="0.25">
      <c r="A510" s="4">
        <v>5</v>
      </c>
      <c r="B510" s="5">
        <v>3</v>
      </c>
      <c r="C510" s="6">
        <v>39670</v>
      </c>
      <c r="D510" s="7">
        <v>2178</v>
      </c>
      <c r="E510" s="8">
        <f>VLOOKUP(B510,T.productos!$A$1:$E$15,4,0)</f>
        <v>1.94</v>
      </c>
      <c r="F510" s="8">
        <f>VLOOKUP(B510,T.productos!$A$1:$E$15,5,0)</f>
        <v>1.89</v>
      </c>
      <c r="G510" s="9">
        <f t="shared" si="7"/>
        <v>2.5773195876288658E-2</v>
      </c>
    </row>
    <row r="511" spans="1:7" x14ac:dyDescent="0.25">
      <c r="A511" s="4">
        <v>1</v>
      </c>
      <c r="B511" s="5">
        <v>1</v>
      </c>
      <c r="C511" s="6">
        <v>38346</v>
      </c>
      <c r="D511" s="7">
        <v>386</v>
      </c>
      <c r="E511" s="8">
        <f>VLOOKUP(B511,T.productos!$A$1:$E$15,4,0)</f>
        <v>3.93</v>
      </c>
      <c r="F511" s="8">
        <f>VLOOKUP(B511,T.productos!$A$1:$E$15,5,0)</f>
        <v>3.4</v>
      </c>
      <c r="G511" s="9">
        <f t="shared" si="7"/>
        <v>0.13486005089058525</v>
      </c>
    </row>
    <row r="512" spans="1:7" x14ac:dyDescent="0.25">
      <c r="A512" s="4">
        <v>2</v>
      </c>
      <c r="B512" s="5">
        <v>14</v>
      </c>
      <c r="C512" s="6">
        <v>39933</v>
      </c>
      <c r="D512" s="7">
        <v>1506</v>
      </c>
      <c r="E512" s="8">
        <f>VLOOKUP(B512,T.productos!$A$1:$E$15,4,0)</f>
        <v>3.63</v>
      </c>
      <c r="F512" s="8">
        <f>VLOOKUP(B512,T.productos!$A$1:$E$15,5,0)</f>
        <v>3.2</v>
      </c>
      <c r="G512" s="9">
        <f t="shared" si="7"/>
        <v>0.1184573002754821</v>
      </c>
    </row>
    <row r="513" spans="1:7" x14ac:dyDescent="0.25">
      <c r="A513" s="4">
        <v>4</v>
      </c>
      <c r="B513" s="5">
        <v>1</v>
      </c>
      <c r="C513" s="6">
        <v>39107</v>
      </c>
      <c r="D513" s="7">
        <v>1144</v>
      </c>
      <c r="E513" s="8">
        <f>VLOOKUP(B513,T.productos!$A$1:$E$15,4,0)</f>
        <v>3.93</v>
      </c>
      <c r="F513" s="8">
        <f>VLOOKUP(B513,T.productos!$A$1:$E$15,5,0)</f>
        <v>3.4</v>
      </c>
      <c r="G513" s="9">
        <f t="shared" si="7"/>
        <v>0.13486005089058525</v>
      </c>
    </row>
    <row r="514" spans="1:7" x14ac:dyDescent="0.25">
      <c r="A514" s="4">
        <v>4</v>
      </c>
      <c r="B514" s="5">
        <v>6</v>
      </c>
      <c r="C514" s="6">
        <v>38027</v>
      </c>
      <c r="D514" s="7">
        <v>1938</v>
      </c>
      <c r="E514" s="8">
        <f>VLOOKUP(B514,T.productos!$A$1:$E$15,4,0)</f>
        <v>2.42</v>
      </c>
      <c r="F514" s="8">
        <f>VLOOKUP(B514,T.productos!$A$1:$E$15,5,0)</f>
        <v>2.2799999999999998</v>
      </c>
      <c r="G514" s="9">
        <f t="shared" ref="G514:G577" si="8">margen(D514,E514,F514)</f>
        <v>5.7851239669421489E-2</v>
      </c>
    </row>
    <row r="515" spans="1:7" x14ac:dyDescent="0.25">
      <c r="A515" s="4">
        <v>2</v>
      </c>
      <c r="B515" s="5">
        <v>4</v>
      </c>
      <c r="C515" s="6">
        <v>39581</v>
      </c>
      <c r="D515" s="7">
        <v>2193</v>
      </c>
      <c r="E515" s="8">
        <f>VLOOKUP(B515,T.productos!$A$1:$E$15,4,0)</f>
        <v>0.61</v>
      </c>
      <c r="F515" s="8">
        <f>VLOOKUP(B515,T.productos!$A$1:$E$15,5,0)</f>
        <v>0.28999999999999998</v>
      </c>
      <c r="G515" s="9">
        <f t="shared" si="8"/>
        <v>0.52459016393442626</v>
      </c>
    </row>
    <row r="516" spans="1:7" x14ac:dyDescent="0.25">
      <c r="A516" s="4">
        <v>1</v>
      </c>
      <c r="B516" s="5">
        <v>4</v>
      </c>
      <c r="C516" s="6">
        <v>39454</v>
      </c>
      <c r="D516" s="7">
        <v>2046</v>
      </c>
      <c r="E516" s="8">
        <f>VLOOKUP(B516,T.productos!$A$1:$E$15,4,0)</f>
        <v>0.61</v>
      </c>
      <c r="F516" s="8">
        <f>VLOOKUP(B516,T.productos!$A$1:$E$15,5,0)</f>
        <v>0.28999999999999998</v>
      </c>
      <c r="G516" s="9">
        <f t="shared" si="8"/>
        <v>0.52459016393442626</v>
      </c>
    </row>
    <row r="517" spans="1:7" x14ac:dyDescent="0.25">
      <c r="A517" s="4">
        <v>3</v>
      </c>
      <c r="B517" s="5">
        <v>6</v>
      </c>
      <c r="C517" s="6">
        <v>38176</v>
      </c>
      <c r="D517" s="7">
        <v>1121</v>
      </c>
      <c r="E517" s="8">
        <f>VLOOKUP(B517,T.productos!$A$1:$E$15,4,0)</f>
        <v>2.42</v>
      </c>
      <c r="F517" s="8">
        <f>VLOOKUP(B517,T.productos!$A$1:$E$15,5,0)</f>
        <v>2.2799999999999998</v>
      </c>
      <c r="G517" s="9">
        <f t="shared" si="8"/>
        <v>5.7851239669421489E-2</v>
      </c>
    </row>
    <row r="518" spans="1:7" x14ac:dyDescent="0.25">
      <c r="A518" s="4">
        <v>3</v>
      </c>
      <c r="B518" s="5">
        <v>5</v>
      </c>
      <c r="C518" s="6">
        <v>39139</v>
      </c>
      <c r="D518" s="7">
        <v>2131</v>
      </c>
      <c r="E518" s="8">
        <f>VLOOKUP(B518,T.productos!$A$1:$E$15,4,0)</f>
        <v>2.54</v>
      </c>
      <c r="F518" s="8">
        <f>VLOOKUP(B518,T.productos!$A$1:$E$15,5,0)</f>
        <v>2.2799999999999998</v>
      </c>
      <c r="G518" s="9">
        <f t="shared" si="8"/>
        <v>0.10236220472440945</v>
      </c>
    </row>
    <row r="519" spans="1:7" x14ac:dyDescent="0.25">
      <c r="A519" s="4">
        <v>5</v>
      </c>
      <c r="B519" s="5">
        <v>9</v>
      </c>
      <c r="C519" s="6">
        <v>39288</v>
      </c>
      <c r="D519" s="7">
        <v>2688</v>
      </c>
      <c r="E519" s="8">
        <f>VLOOKUP(B519,T.productos!$A$1:$E$15,4,0)</f>
        <v>1.21</v>
      </c>
      <c r="F519" s="8">
        <f>VLOOKUP(B519,T.productos!$A$1:$E$15,5,0)</f>
        <v>0.36</v>
      </c>
      <c r="G519" s="9">
        <f t="shared" si="8"/>
        <v>0.7024793388429752</v>
      </c>
    </row>
    <row r="520" spans="1:7" x14ac:dyDescent="0.25">
      <c r="A520" s="4">
        <v>5</v>
      </c>
      <c r="B520" s="5">
        <v>12</v>
      </c>
      <c r="C520" s="6">
        <v>38751</v>
      </c>
      <c r="D520" s="7">
        <v>1501</v>
      </c>
      <c r="E520" s="8">
        <f>VLOOKUP(B520,T.productos!$A$1:$E$15,4,0)</f>
        <v>2.42</v>
      </c>
      <c r="F520" s="8">
        <f>VLOOKUP(B520,T.productos!$A$1:$E$15,5,0)</f>
        <v>1.68</v>
      </c>
      <c r="G520" s="9">
        <f t="shared" si="8"/>
        <v>0.30578512396694213</v>
      </c>
    </row>
    <row r="521" spans="1:7" x14ac:dyDescent="0.25">
      <c r="A521" s="4">
        <v>2</v>
      </c>
      <c r="B521" s="5">
        <v>5</v>
      </c>
      <c r="C521" s="6">
        <v>38187</v>
      </c>
      <c r="D521" s="7">
        <v>1932</v>
      </c>
      <c r="E521" s="8">
        <f>VLOOKUP(B521,T.productos!$A$1:$E$15,4,0)</f>
        <v>2.54</v>
      </c>
      <c r="F521" s="8">
        <f>VLOOKUP(B521,T.productos!$A$1:$E$15,5,0)</f>
        <v>2.2799999999999998</v>
      </c>
      <c r="G521" s="9">
        <f t="shared" si="8"/>
        <v>0.10236220472440945</v>
      </c>
    </row>
    <row r="522" spans="1:7" x14ac:dyDescent="0.25">
      <c r="A522" s="4">
        <v>3</v>
      </c>
      <c r="B522" s="5">
        <v>1</v>
      </c>
      <c r="C522" s="6">
        <v>38376</v>
      </c>
      <c r="D522" s="7">
        <v>2686</v>
      </c>
      <c r="E522" s="8">
        <f>VLOOKUP(B522,T.productos!$A$1:$E$15,4,0)</f>
        <v>3.93</v>
      </c>
      <c r="F522" s="8">
        <f>VLOOKUP(B522,T.productos!$A$1:$E$15,5,0)</f>
        <v>3.4</v>
      </c>
      <c r="G522" s="9">
        <f t="shared" si="8"/>
        <v>0.13486005089058525</v>
      </c>
    </row>
    <row r="523" spans="1:7" x14ac:dyDescent="0.25">
      <c r="A523" s="4">
        <v>5</v>
      </c>
      <c r="B523" s="5">
        <v>13</v>
      </c>
      <c r="C523" s="6">
        <v>39868</v>
      </c>
      <c r="D523" s="7">
        <v>1125</v>
      </c>
      <c r="E523" s="8">
        <f>VLOOKUP(B523,T.productos!$A$1:$E$15,4,0)</f>
        <v>0.24</v>
      </c>
      <c r="F523" s="8">
        <f>VLOOKUP(B523,T.productos!$A$1:$E$15,5,0)</f>
        <v>0.12</v>
      </c>
      <c r="G523" s="9">
        <f t="shared" si="8"/>
        <v>0.5</v>
      </c>
    </row>
    <row r="524" spans="1:7" x14ac:dyDescent="0.25">
      <c r="A524" s="4">
        <v>1</v>
      </c>
      <c r="B524" s="5">
        <v>6</v>
      </c>
      <c r="C524" s="6">
        <v>38109</v>
      </c>
      <c r="D524" s="7">
        <v>328</v>
      </c>
      <c r="E524" s="8">
        <f>VLOOKUP(B524,T.productos!$A$1:$E$15,4,0)</f>
        <v>2.42</v>
      </c>
      <c r="F524" s="8">
        <f>VLOOKUP(B524,T.productos!$A$1:$E$15,5,0)</f>
        <v>2.2799999999999998</v>
      </c>
      <c r="G524" s="9">
        <f t="shared" si="8"/>
        <v>5.7851239669421489E-2</v>
      </c>
    </row>
    <row r="525" spans="1:7" x14ac:dyDescent="0.25">
      <c r="A525" s="4">
        <v>4</v>
      </c>
      <c r="B525" s="5">
        <v>6</v>
      </c>
      <c r="C525" s="6">
        <v>39358</v>
      </c>
      <c r="D525" s="7">
        <v>350</v>
      </c>
      <c r="E525" s="8">
        <f>VLOOKUP(B525,T.productos!$A$1:$E$15,4,0)</f>
        <v>2.42</v>
      </c>
      <c r="F525" s="8">
        <f>VLOOKUP(B525,T.productos!$A$1:$E$15,5,0)</f>
        <v>2.2799999999999998</v>
      </c>
      <c r="G525" s="9">
        <f t="shared" si="8"/>
        <v>5.7851239669421489E-2</v>
      </c>
    </row>
    <row r="526" spans="1:7" x14ac:dyDescent="0.25">
      <c r="A526" s="4">
        <v>2</v>
      </c>
      <c r="B526" s="5">
        <v>10</v>
      </c>
      <c r="C526" s="6">
        <v>38524</v>
      </c>
      <c r="D526" s="7">
        <v>724</v>
      </c>
      <c r="E526" s="8">
        <f>VLOOKUP(B526,T.productos!$A$1:$E$15,4,0)</f>
        <v>0.61</v>
      </c>
      <c r="F526" s="8">
        <f>VLOOKUP(B526,T.productos!$A$1:$E$15,5,0)</f>
        <v>0.4</v>
      </c>
      <c r="G526" s="9">
        <f t="shared" si="8"/>
        <v>0.34426229508196721</v>
      </c>
    </row>
    <row r="527" spans="1:7" x14ac:dyDescent="0.25">
      <c r="A527" s="4">
        <v>4</v>
      </c>
      <c r="B527" s="5">
        <v>13</v>
      </c>
      <c r="C527" s="6">
        <v>39162</v>
      </c>
      <c r="D527" s="7">
        <v>1978</v>
      </c>
      <c r="E527" s="8">
        <f>VLOOKUP(B527,T.productos!$A$1:$E$15,4,0)</f>
        <v>0.24</v>
      </c>
      <c r="F527" s="8">
        <f>VLOOKUP(B527,T.productos!$A$1:$E$15,5,0)</f>
        <v>0.12</v>
      </c>
      <c r="G527" s="9">
        <f t="shared" si="8"/>
        <v>0.5</v>
      </c>
    </row>
    <row r="528" spans="1:7" x14ac:dyDescent="0.25">
      <c r="A528" s="4">
        <v>2</v>
      </c>
      <c r="B528" s="5">
        <v>6</v>
      </c>
      <c r="C528" s="6">
        <v>39231</v>
      </c>
      <c r="D528" s="7">
        <v>1395</v>
      </c>
      <c r="E528" s="8">
        <f>VLOOKUP(B528,T.productos!$A$1:$E$15,4,0)</f>
        <v>2.42</v>
      </c>
      <c r="F528" s="8">
        <f>VLOOKUP(B528,T.productos!$A$1:$E$15,5,0)</f>
        <v>2.2799999999999998</v>
      </c>
      <c r="G528" s="9">
        <f t="shared" si="8"/>
        <v>5.7851239669421489E-2</v>
      </c>
    </row>
    <row r="529" spans="1:7" x14ac:dyDescent="0.25">
      <c r="A529" s="4">
        <v>5</v>
      </c>
      <c r="B529" s="5">
        <v>5</v>
      </c>
      <c r="C529" s="6">
        <v>38264</v>
      </c>
      <c r="D529" s="7">
        <v>2742</v>
      </c>
      <c r="E529" s="8">
        <f>VLOOKUP(B529,T.productos!$A$1:$E$15,4,0)</f>
        <v>2.54</v>
      </c>
      <c r="F529" s="8">
        <f>VLOOKUP(B529,T.productos!$A$1:$E$15,5,0)</f>
        <v>2.2799999999999998</v>
      </c>
      <c r="G529" s="9">
        <f t="shared" si="8"/>
        <v>0.10236220472440945</v>
      </c>
    </row>
    <row r="530" spans="1:7" x14ac:dyDescent="0.25">
      <c r="A530" s="4">
        <v>2</v>
      </c>
      <c r="B530" s="5">
        <v>6</v>
      </c>
      <c r="C530" s="6">
        <v>39755</v>
      </c>
      <c r="D530" s="7">
        <v>1471</v>
      </c>
      <c r="E530" s="8">
        <f>VLOOKUP(B530,T.productos!$A$1:$E$15,4,0)</f>
        <v>2.42</v>
      </c>
      <c r="F530" s="8">
        <f>VLOOKUP(B530,T.productos!$A$1:$E$15,5,0)</f>
        <v>2.2799999999999998</v>
      </c>
      <c r="G530" s="9">
        <f t="shared" si="8"/>
        <v>5.7851239669421489E-2</v>
      </c>
    </row>
    <row r="531" spans="1:7" x14ac:dyDescent="0.25">
      <c r="A531" s="4">
        <v>4</v>
      </c>
      <c r="B531" s="5">
        <v>14</v>
      </c>
      <c r="C531" s="6">
        <v>39690</v>
      </c>
      <c r="D531" s="7">
        <v>1255</v>
      </c>
      <c r="E531" s="8">
        <f>VLOOKUP(B531,T.productos!$A$1:$E$15,4,0)</f>
        <v>3.63</v>
      </c>
      <c r="F531" s="8">
        <f>VLOOKUP(B531,T.productos!$A$1:$E$15,5,0)</f>
        <v>3.2</v>
      </c>
      <c r="G531" s="9">
        <f t="shared" si="8"/>
        <v>0.1184573002754821</v>
      </c>
    </row>
    <row r="532" spans="1:7" x14ac:dyDescent="0.25">
      <c r="A532" s="4">
        <v>1</v>
      </c>
      <c r="B532" s="5">
        <v>1</v>
      </c>
      <c r="C532" s="6">
        <v>39690</v>
      </c>
      <c r="D532" s="7">
        <v>1221</v>
      </c>
      <c r="E532" s="8">
        <f>VLOOKUP(B532,T.productos!$A$1:$E$15,4,0)</f>
        <v>3.93</v>
      </c>
      <c r="F532" s="8">
        <f>VLOOKUP(B532,T.productos!$A$1:$E$15,5,0)</f>
        <v>3.4</v>
      </c>
      <c r="G532" s="9">
        <f t="shared" si="8"/>
        <v>0.13486005089058525</v>
      </c>
    </row>
    <row r="533" spans="1:7" x14ac:dyDescent="0.25">
      <c r="A533" s="4">
        <v>2</v>
      </c>
      <c r="B533" s="5">
        <v>13</v>
      </c>
      <c r="C533" s="6">
        <v>39711</v>
      </c>
      <c r="D533" s="7">
        <v>831</v>
      </c>
      <c r="E533" s="8">
        <f>VLOOKUP(B533,T.productos!$A$1:$E$15,4,0)</f>
        <v>0.24</v>
      </c>
      <c r="F533" s="8">
        <f>VLOOKUP(B533,T.productos!$A$1:$E$15,5,0)</f>
        <v>0.12</v>
      </c>
      <c r="G533" s="9">
        <f t="shared" si="8"/>
        <v>0.5</v>
      </c>
    </row>
    <row r="534" spans="1:7" x14ac:dyDescent="0.25">
      <c r="A534" s="4">
        <v>2</v>
      </c>
      <c r="B534" s="5">
        <v>13</v>
      </c>
      <c r="C534" s="6">
        <v>39714</v>
      </c>
      <c r="D534" s="7">
        <v>1585</v>
      </c>
      <c r="E534" s="8">
        <f>VLOOKUP(B534,T.productos!$A$1:$E$15,4,0)</f>
        <v>0.24</v>
      </c>
      <c r="F534" s="8">
        <f>VLOOKUP(B534,T.productos!$A$1:$E$15,5,0)</f>
        <v>0.12</v>
      </c>
      <c r="G534" s="9">
        <f t="shared" si="8"/>
        <v>0.5</v>
      </c>
    </row>
    <row r="535" spans="1:7" x14ac:dyDescent="0.25">
      <c r="A535" s="4">
        <v>5</v>
      </c>
      <c r="B535" s="5">
        <v>10</v>
      </c>
      <c r="C535" s="6">
        <v>39319</v>
      </c>
      <c r="D535" s="7">
        <v>2529</v>
      </c>
      <c r="E535" s="8">
        <f>VLOOKUP(B535,T.productos!$A$1:$E$15,4,0)</f>
        <v>0.61</v>
      </c>
      <c r="F535" s="8">
        <f>VLOOKUP(B535,T.productos!$A$1:$E$15,5,0)</f>
        <v>0.4</v>
      </c>
      <c r="G535" s="9">
        <f t="shared" si="8"/>
        <v>0.34426229508196721</v>
      </c>
    </row>
    <row r="536" spans="1:7" x14ac:dyDescent="0.25">
      <c r="A536" s="4">
        <v>5</v>
      </c>
      <c r="B536" s="5">
        <v>4</v>
      </c>
      <c r="C536" s="6">
        <v>38147</v>
      </c>
      <c r="D536" s="7">
        <v>2037</v>
      </c>
      <c r="E536" s="8">
        <f>VLOOKUP(B536,T.productos!$A$1:$E$15,4,0)</f>
        <v>0.61</v>
      </c>
      <c r="F536" s="8">
        <f>VLOOKUP(B536,T.productos!$A$1:$E$15,5,0)</f>
        <v>0.28999999999999998</v>
      </c>
      <c r="G536" s="9">
        <f t="shared" si="8"/>
        <v>0.52459016393442626</v>
      </c>
    </row>
    <row r="537" spans="1:7" x14ac:dyDescent="0.25">
      <c r="A537" s="4">
        <v>2</v>
      </c>
      <c r="B537" s="5">
        <v>12</v>
      </c>
      <c r="C537" s="6">
        <v>38940</v>
      </c>
      <c r="D537" s="7">
        <v>1008</v>
      </c>
      <c r="E537" s="8">
        <f>VLOOKUP(B537,T.productos!$A$1:$E$15,4,0)</f>
        <v>2.42</v>
      </c>
      <c r="F537" s="8">
        <f>VLOOKUP(B537,T.productos!$A$1:$E$15,5,0)</f>
        <v>1.68</v>
      </c>
      <c r="G537" s="9">
        <f t="shared" si="8"/>
        <v>0.30578512396694213</v>
      </c>
    </row>
    <row r="538" spans="1:7" x14ac:dyDescent="0.25">
      <c r="A538" s="4">
        <v>4</v>
      </c>
      <c r="B538" s="5">
        <v>10</v>
      </c>
      <c r="C538" s="6">
        <v>38113</v>
      </c>
      <c r="D538" s="7">
        <v>2167</v>
      </c>
      <c r="E538" s="8">
        <f>VLOOKUP(B538,T.productos!$A$1:$E$15,4,0)</f>
        <v>0.61</v>
      </c>
      <c r="F538" s="8">
        <f>VLOOKUP(B538,T.productos!$A$1:$E$15,5,0)</f>
        <v>0.4</v>
      </c>
      <c r="G538" s="9">
        <f t="shared" si="8"/>
        <v>0.34426229508196721</v>
      </c>
    </row>
    <row r="539" spans="1:7" x14ac:dyDescent="0.25">
      <c r="A539" s="4">
        <v>3</v>
      </c>
      <c r="B539" s="5">
        <v>1</v>
      </c>
      <c r="C539" s="6">
        <v>38032</v>
      </c>
      <c r="D539" s="7">
        <v>1128</v>
      </c>
      <c r="E539" s="8">
        <f>VLOOKUP(B539,T.productos!$A$1:$E$15,4,0)</f>
        <v>3.93</v>
      </c>
      <c r="F539" s="8">
        <f>VLOOKUP(B539,T.productos!$A$1:$E$15,5,0)</f>
        <v>3.4</v>
      </c>
      <c r="G539" s="9">
        <f t="shared" si="8"/>
        <v>0.13486005089058525</v>
      </c>
    </row>
    <row r="540" spans="1:7" x14ac:dyDescent="0.25">
      <c r="A540" s="4">
        <v>2</v>
      </c>
      <c r="B540" s="5">
        <v>11</v>
      </c>
      <c r="C540" s="6">
        <v>39933</v>
      </c>
      <c r="D540" s="7">
        <v>1134</v>
      </c>
      <c r="E540" s="8">
        <f>VLOOKUP(B540,T.productos!$A$1:$E$15,4,0)</f>
        <v>1.21</v>
      </c>
      <c r="F540" s="8">
        <f>VLOOKUP(B540,T.productos!$A$1:$E$15,5,0)</f>
        <v>0.72</v>
      </c>
      <c r="G540" s="9">
        <f t="shared" si="8"/>
        <v>0.4049586776859504</v>
      </c>
    </row>
    <row r="541" spans="1:7" x14ac:dyDescent="0.25">
      <c r="A541" s="4">
        <v>5</v>
      </c>
      <c r="B541" s="5">
        <v>13</v>
      </c>
      <c r="C541" s="6">
        <v>38886</v>
      </c>
      <c r="D541" s="7">
        <v>1735</v>
      </c>
      <c r="E541" s="8">
        <f>VLOOKUP(B541,T.productos!$A$1:$E$15,4,0)</f>
        <v>0.24</v>
      </c>
      <c r="F541" s="8">
        <f>VLOOKUP(B541,T.productos!$A$1:$E$15,5,0)</f>
        <v>0.12</v>
      </c>
      <c r="G541" s="9">
        <f t="shared" si="8"/>
        <v>0.5</v>
      </c>
    </row>
    <row r="542" spans="1:7" x14ac:dyDescent="0.25">
      <c r="A542" s="4">
        <v>2</v>
      </c>
      <c r="B542" s="5">
        <v>12</v>
      </c>
      <c r="C542" s="6">
        <v>39590</v>
      </c>
      <c r="D542" s="7">
        <v>1523</v>
      </c>
      <c r="E542" s="8">
        <f>VLOOKUP(B542,T.productos!$A$1:$E$15,4,0)</f>
        <v>2.42</v>
      </c>
      <c r="F542" s="8">
        <f>VLOOKUP(B542,T.productos!$A$1:$E$15,5,0)</f>
        <v>1.68</v>
      </c>
      <c r="G542" s="9">
        <f t="shared" si="8"/>
        <v>0.30578512396694213</v>
      </c>
    </row>
    <row r="543" spans="1:7" x14ac:dyDescent="0.25">
      <c r="A543" s="4">
        <v>3</v>
      </c>
      <c r="B543" s="5">
        <v>14</v>
      </c>
      <c r="C543" s="6">
        <v>39438</v>
      </c>
      <c r="D543" s="7">
        <v>1868</v>
      </c>
      <c r="E543" s="8">
        <f>VLOOKUP(B543,T.productos!$A$1:$E$15,4,0)</f>
        <v>3.63</v>
      </c>
      <c r="F543" s="8">
        <f>VLOOKUP(B543,T.productos!$A$1:$E$15,5,0)</f>
        <v>3.2</v>
      </c>
      <c r="G543" s="9">
        <f t="shared" si="8"/>
        <v>0.1184573002754821</v>
      </c>
    </row>
    <row r="544" spans="1:7" x14ac:dyDescent="0.25">
      <c r="A544" s="4">
        <v>1</v>
      </c>
      <c r="B544" s="5">
        <v>8</v>
      </c>
      <c r="C544" s="6">
        <v>39585</v>
      </c>
      <c r="D544" s="7">
        <v>937</v>
      </c>
      <c r="E544" s="8">
        <f>VLOOKUP(B544,T.productos!$A$1:$E$15,4,0)</f>
        <v>3.63</v>
      </c>
      <c r="F544" s="8">
        <f>VLOOKUP(B544,T.productos!$A$1:$E$15,5,0)</f>
        <v>3.35</v>
      </c>
      <c r="G544" s="9">
        <f t="shared" si="8"/>
        <v>7.7134986225895319E-2</v>
      </c>
    </row>
    <row r="545" spans="1:7" x14ac:dyDescent="0.25">
      <c r="A545" s="4">
        <v>5</v>
      </c>
      <c r="B545" s="5">
        <v>3</v>
      </c>
      <c r="C545" s="6">
        <v>39830</v>
      </c>
      <c r="D545" s="7">
        <v>1831</v>
      </c>
      <c r="E545" s="8">
        <f>VLOOKUP(B545,T.productos!$A$1:$E$15,4,0)</f>
        <v>1.94</v>
      </c>
      <c r="F545" s="8">
        <f>VLOOKUP(B545,T.productos!$A$1:$E$15,5,0)</f>
        <v>1.89</v>
      </c>
      <c r="G545" s="9">
        <f t="shared" si="8"/>
        <v>2.5773195876288658E-2</v>
      </c>
    </row>
    <row r="546" spans="1:7" x14ac:dyDescent="0.25">
      <c r="A546" s="4">
        <v>4</v>
      </c>
      <c r="B546" s="5">
        <v>13</v>
      </c>
      <c r="C546" s="6">
        <v>38703</v>
      </c>
      <c r="D546" s="7">
        <v>2386</v>
      </c>
      <c r="E546" s="8">
        <f>VLOOKUP(B546,T.productos!$A$1:$E$15,4,0)</f>
        <v>0.24</v>
      </c>
      <c r="F546" s="8">
        <f>VLOOKUP(B546,T.productos!$A$1:$E$15,5,0)</f>
        <v>0.12</v>
      </c>
      <c r="G546" s="9">
        <f t="shared" si="8"/>
        <v>0.5</v>
      </c>
    </row>
    <row r="547" spans="1:7" x14ac:dyDescent="0.25">
      <c r="A547" s="4">
        <v>3</v>
      </c>
      <c r="B547" s="5">
        <v>13</v>
      </c>
      <c r="C547" s="6">
        <v>39815</v>
      </c>
      <c r="D547" s="7">
        <v>2306</v>
      </c>
      <c r="E547" s="8">
        <f>VLOOKUP(B547,T.productos!$A$1:$E$15,4,0)</f>
        <v>0.24</v>
      </c>
      <c r="F547" s="8">
        <f>VLOOKUP(B547,T.productos!$A$1:$E$15,5,0)</f>
        <v>0.12</v>
      </c>
      <c r="G547" s="9">
        <f t="shared" si="8"/>
        <v>0.5</v>
      </c>
    </row>
    <row r="548" spans="1:7" x14ac:dyDescent="0.25">
      <c r="A548" s="4">
        <v>4</v>
      </c>
      <c r="B548" s="5">
        <v>13</v>
      </c>
      <c r="C548" s="6">
        <v>38040</v>
      </c>
      <c r="D548" s="7">
        <v>480</v>
      </c>
      <c r="E548" s="8">
        <f>VLOOKUP(B548,T.productos!$A$1:$E$15,4,0)</f>
        <v>0.24</v>
      </c>
      <c r="F548" s="8">
        <f>VLOOKUP(B548,T.productos!$A$1:$E$15,5,0)</f>
        <v>0.12</v>
      </c>
      <c r="G548" s="9">
        <f t="shared" si="8"/>
        <v>0.5</v>
      </c>
    </row>
    <row r="549" spans="1:7" x14ac:dyDescent="0.25">
      <c r="A549" s="4">
        <v>2</v>
      </c>
      <c r="B549" s="5">
        <v>7</v>
      </c>
      <c r="C549" s="6">
        <v>38644</v>
      </c>
      <c r="D549" s="7">
        <v>1359</v>
      </c>
      <c r="E549" s="8">
        <f>VLOOKUP(B549,T.productos!$A$1:$E$15,4,0)</f>
        <v>0.97</v>
      </c>
      <c r="F549" s="8">
        <f>VLOOKUP(B549,T.productos!$A$1:$E$15,5,0)</f>
        <v>0.19</v>
      </c>
      <c r="G549" s="9">
        <f t="shared" si="8"/>
        <v>0.80412371134020622</v>
      </c>
    </row>
    <row r="550" spans="1:7" x14ac:dyDescent="0.25">
      <c r="A550" s="4">
        <v>3</v>
      </c>
      <c r="B550" s="5">
        <v>14</v>
      </c>
      <c r="C550" s="6">
        <v>38684</v>
      </c>
      <c r="D550" s="7">
        <v>2366</v>
      </c>
      <c r="E550" s="8">
        <f>VLOOKUP(B550,T.productos!$A$1:$E$15,4,0)</f>
        <v>3.63</v>
      </c>
      <c r="F550" s="8">
        <f>VLOOKUP(B550,T.productos!$A$1:$E$15,5,0)</f>
        <v>3.2</v>
      </c>
      <c r="G550" s="9">
        <f t="shared" si="8"/>
        <v>0.1184573002754821</v>
      </c>
    </row>
    <row r="551" spans="1:7" x14ac:dyDescent="0.25">
      <c r="A551" s="4">
        <v>2</v>
      </c>
      <c r="B551" s="5">
        <v>6</v>
      </c>
      <c r="C551" s="6">
        <v>38330</v>
      </c>
      <c r="D551" s="7">
        <v>414</v>
      </c>
      <c r="E551" s="8">
        <f>VLOOKUP(B551,T.productos!$A$1:$E$15,4,0)</f>
        <v>2.42</v>
      </c>
      <c r="F551" s="8">
        <f>VLOOKUP(B551,T.productos!$A$1:$E$15,5,0)</f>
        <v>2.2799999999999998</v>
      </c>
      <c r="G551" s="9">
        <f t="shared" si="8"/>
        <v>5.7851239669421489E-2</v>
      </c>
    </row>
    <row r="552" spans="1:7" x14ac:dyDescent="0.25">
      <c r="A552" s="4">
        <v>1</v>
      </c>
      <c r="B552" s="5">
        <v>10</v>
      </c>
      <c r="C552" s="6">
        <v>38352</v>
      </c>
      <c r="D552" s="7">
        <v>698</v>
      </c>
      <c r="E552" s="8">
        <f>VLOOKUP(B552,T.productos!$A$1:$E$15,4,0)</f>
        <v>0.61</v>
      </c>
      <c r="F552" s="8">
        <f>VLOOKUP(B552,T.productos!$A$1:$E$15,5,0)</f>
        <v>0.4</v>
      </c>
      <c r="G552" s="9">
        <f t="shared" si="8"/>
        <v>0.34426229508196721</v>
      </c>
    </row>
    <row r="553" spans="1:7" x14ac:dyDescent="0.25">
      <c r="A553" s="4">
        <v>4</v>
      </c>
      <c r="B553" s="5">
        <v>2</v>
      </c>
      <c r="C553" s="6">
        <v>38886</v>
      </c>
      <c r="D553" s="7">
        <v>1852</v>
      </c>
      <c r="E553" s="8">
        <f>VLOOKUP(B553,T.productos!$A$1:$E$15,4,0)</f>
        <v>1.63</v>
      </c>
      <c r="F553" s="8">
        <f>VLOOKUP(B553,T.productos!$A$1:$E$15,5,0)</f>
        <v>1.42</v>
      </c>
      <c r="G553" s="9">
        <f t="shared" si="8"/>
        <v>0.12883435582822086</v>
      </c>
    </row>
    <row r="554" spans="1:7" x14ac:dyDescent="0.25">
      <c r="A554" s="4">
        <v>1</v>
      </c>
      <c r="B554" s="5">
        <v>14</v>
      </c>
      <c r="C554" s="6">
        <v>38775</v>
      </c>
      <c r="D554" s="7">
        <v>884</v>
      </c>
      <c r="E554" s="8">
        <f>VLOOKUP(B554,T.productos!$A$1:$E$15,4,0)</f>
        <v>3.63</v>
      </c>
      <c r="F554" s="8">
        <f>VLOOKUP(B554,T.productos!$A$1:$E$15,5,0)</f>
        <v>3.2</v>
      </c>
      <c r="G554" s="9">
        <f t="shared" si="8"/>
        <v>0.1184573002754821</v>
      </c>
    </row>
    <row r="555" spans="1:7" x14ac:dyDescent="0.25">
      <c r="A555" s="4">
        <v>2</v>
      </c>
      <c r="B555" s="5">
        <v>2</v>
      </c>
      <c r="C555" s="6">
        <v>38379</v>
      </c>
      <c r="D555" s="7">
        <v>1161</v>
      </c>
      <c r="E555" s="8">
        <f>VLOOKUP(B555,T.productos!$A$1:$E$15,4,0)</f>
        <v>1.63</v>
      </c>
      <c r="F555" s="8">
        <f>VLOOKUP(B555,T.productos!$A$1:$E$15,5,0)</f>
        <v>1.42</v>
      </c>
      <c r="G555" s="9">
        <f t="shared" si="8"/>
        <v>0.12883435582822086</v>
      </c>
    </row>
    <row r="556" spans="1:7" x14ac:dyDescent="0.25">
      <c r="A556" s="4">
        <v>2</v>
      </c>
      <c r="B556" s="5">
        <v>4</v>
      </c>
      <c r="C556" s="6">
        <v>39990</v>
      </c>
      <c r="D556" s="7">
        <v>2124</v>
      </c>
      <c r="E556" s="8">
        <f>VLOOKUP(B556,T.productos!$A$1:$E$15,4,0)</f>
        <v>0.61</v>
      </c>
      <c r="F556" s="8">
        <f>VLOOKUP(B556,T.productos!$A$1:$E$15,5,0)</f>
        <v>0.28999999999999998</v>
      </c>
      <c r="G556" s="9">
        <f t="shared" si="8"/>
        <v>0.52459016393442626</v>
      </c>
    </row>
    <row r="557" spans="1:7" x14ac:dyDescent="0.25">
      <c r="A557" s="4">
        <v>5</v>
      </c>
      <c r="B557" s="5">
        <v>2</v>
      </c>
      <c r="C557" s="6">
        <v>39663</v>
      </c>
      <c r="D557" s="7">
        <v>432</v>
      </c>
      <c r="E557" s="8">
        <f>VLOOKUP(B557,T.productos!$A$1:$E$15,4,0)</f>
        <v>1.63</v>
      </c>
      <c r="F557" s="8">
        <f>VLOOKUP(B557,T.productos!$A$1:$E$15,5,0)</f>
        <v>1.42</v>
      </c>
      <c r="G557" s="9">
        <f t="shared" si="8"/>
        <v>0.12883435582822086</v>
      </c>
    </row>
    <row r="558" spans="1:7" x14ac:dyDescent="0.25">
      <c r="A558" s="4">
        <v>5</v>
      </c>
      <c r="B558" s="5">
        <v>7</v>
      </c>
      <c r="C558" s="6">
        <v>39643</v>
      </c>
      <c r="D558" s="7">
        <v>2203</v>
      </c>
      <c r="E558" s="8">
        <f>VLOOKUP(B558,T.productos!$A$1:$E$15,4,0)</f>
        <v>0.97</v>
      </c>
      <c r="F558" s="8">
        <f>VLOOKUP(B558,T.productos!$A$1:$E$15,5,0)</f>
        <v>0.19</v>
      </c>
      <c r="G558" s="9">
        <f t="shared" si="8"/>
        <v>0.80412371134020622</v>
      </c>
    </row>
    <row r="559" spans="1:7" x14ac:dyDescent="0.25">
      <c r="A559" s="4">
        <v>3</v>
      </c>
      <c r="B559" s="5">
        <v>4</v>
      </c>
      <c r="C559" s="6">
        <v>39108</v>
      </c>
      <c r="D559" s="7">
        <v>901</v>
      </c>
      <c r="E559" s="8">
        <f>VLOOKUP(B559,T.productos!$A$1:$E$15,4,0)</f>
        <v>0.61</v>
      </c>
      <c r="F559" s="8">
        <f>VLOOKUP(B559,T.productos!$A$1:$E$15,5,0)</f>
        <v>0.28999999999999998</v>
      </c>
      <c r="G559" s="9">
        <f t="shared" si="8"/>
        <v>0.52459016393442626</v>
      </c>
    </row>
    <row r="560" spans="1:7" x14ac:dyDescent="0.25">
      <c r="A560" s="4">
        <v>4</v>
      </c>
      <c r="B560" s="5">
        <v>4</v>
      </c>
      <c r="C560" s="6">
        <v>39067</v>
      </c>
      <c r="D560" s="7">
        <v>608</v>
      </c>
      <c r="E560" s="8">
        <f>VLOOKUP(B560,T.productos!$A$1:$E$15,4,0)</f>
        <v>0.61</v>
      </c>
      <c r="F560" s="8">
        <f>VLOOKUP(B560,T.productos!$A$1:$E$15,5,0)</f>
        <v>0.28999999999999998</v>
      </c>
      <c r="G560" s="9">
        <f t="shared" si="8"/>
        <v>0.52459016393442626</v>
      </c>
    </row>
    <row r="561" spans="1:7" x14ac:dyDescent="0.25">
      <c r="A561" s="4">
        <v>4</v>
      </c>
      <c r="B561" s="5">
        <v>3</v>
      </c>
      <c r="C561" s="6">
        <v>39987</v>
      </c>
      <c r="D561" s="7">
        <v>2087</v>
      </c>
      <c r="E561" s="8">
        <f>VLOOKUP(B561,T.productos!$A$1:$E$15,4,0)</f>
        <v>1.94</v>
      </c>
      <c r="F561" s="8">
        <f>VLOOKUP(B561,T.productos!$A$1:$E$15,5,0)</f>
        <v>1.89</v>
      </c>
      <c r="G561" s="9">
        <f t="shared" si="8"/>
        <v>2.5773195876288658E-2</v>
      </c>
    </row>
    <row r="562" spans="1:7" x14ac:dyDescent="0.25">
      <c r="A562" s="4">
        <v>5</v>
      </c>
      <c r="B562" s="5">
        <v>5</v>
      </c>
      <c r="C562" s="6">
        <v>39384</v>
      </c>
      <c r="D562" s="7">
        <v>1053</v>
      </c>
      <c r="E562" s="8">
        <f>VLOOKUP(B562,T.productos!$A$1:$E$15,4,0)</f>
        <v>2.54</v>
      </c>
      <c r="F562" s="8">
        <f>VLOOKUP(B562,T.productos!$A$1:$E$15,5,0)</f>
        <v>2.2799999999999998</v>
      </c>
      <c r="G562" s="9">
        <f t="shared" si="8"/>
        <v>0.10236220472440945</v>
      </c>
    </row>
    <row r="563" spans="1:7" x14ac:dyDescent="0.25">
      <c r="A563" s="4">
        <v>4</v>
      </c>
      <c r="B563" s="5">
        <v>2</v>
      </c>
      <c r="C563" s="6">
        <v>39875</v>
      </c>
      <c r="D563" s="7">
        <v>963</v>
      </c>
      <c r="E563" s="8">
        <f>VLOOKUP(B563,T.productos!$A$1:$E$15,4,0)</f>
        <v>1.63</v>
      </c>
      <c r="F563" s="8">
        <f>VLOOKUP(B563,T.productos!$A$1:$E$15,5,0)</f>
        <v>1.42</v>
      </c>
      <c r="G563" s="9">
        <f t="shared" si="8"/>
        <v>0.12883435582822086</v>
      </c>
    </row>
    <row r="564" spans="1:7" x14ac:dyDescent="0.25">
      <c r="A564" s="4">
        <v>4</v>
      </c>
      <c r="B564" s="5">
        <v>4</v>
      </c>
      <c r="C564" s="6">
        <v>38616</v>
      </c>
      <c r="D564" s="7">
        <v>622</v>
      </c>
      <c r="E564" s="8">
        <f>VLOOKUP(B564,T.productos!$A$1:$E$15,4,0)</f>
        <v>0.61</v>
      </c>
      <c r="F564" s="8">
        <f>VLOOKUP(B564,T.productos!$A$1:$E$15,5,0)</f>
        <v>0.28999999999999998</v>
      </c>
      <c r="G564" s="9">
        <f t="shared" si="8"/>
        <v>0.52459016393442626</v>
      </c>
    </row>
    <row r="565" spans="1:7" x14ac:dyDescent="0.25">
      <c r="A565" s="4">
        <v>5</v>
      </c>
      <c r="B565" s="5">
        <v>7</v>
      </c>
      <c r="C565" s="6">
        <v>38275</v>
      </c>
      <c r="D565" s="7">
        <v>594</v>
      </c>
      <c r="E565" s="8">
        <f>VLOOKUP(B565,T.productos!$A$1:$E$15,4,0)</f>
        <v>0.97</v>
      </c>
      <c r="F565" s="8">
        <f>VLOOKUP(B565,T.productos!$A$1:$E$15,5,0)</f>
        <v>0.19</v>
      </c>
      <c r="G565" s="9">
        <f t="shared" si="8"/>
        <v>0.80412371134020622</v>
      </c>
    </row>
    <row r="566" spans="1:7" x14ac:dyDescent="0.25">
      <c r="A566" s="4">
        <v>1</v>
      </c>
      <c r="B566" s="5">
        <v>2</v>
      </c>
      <c r="C566" s="6">
        <v>38937</v>
      </c>
      <c r="D566" s="7">
        <v>1958</v>
      </c>
      <c r="E566" s="8">
        <f>VLOOKUP(B566,T.productos!$A$1:$E$15,4,0)</f>
        <v>1.63</v>
      </c>
      <c r="F566" s="8">
        <f>VLOOKUP(B566,T.productos!$A$1:$E$15,5,0)</f>
        <v>1.42</v>
      </c>
      <c r="G566" s="9">
        <f t="shared" si="8"/>
        <v>0.12883435582822086</v>
      </c>
    </row>
    <row r="567" spans="1:7" x14ac:dyDescent="0.25">
      <c r="A567" s="4">
        <v>4</v>
      </c>
      <c r="B567" s="5">
        <v>11</v>
      </c>
      <c r="C567" s="6">
        <v>38170</v>
      </c>
      <c r="D567" s="7">
        <v>833</v>
      </c>
      <c r="E567" s="8">
        <f>VLOOKUP(B567,T.productos!$A$1:$E$15,4,0)</f>
        <v>1.21</v>
      </c>
      <c r="F567" s="8">
        <f>VLOOKUP(B567,T.productos!$A$1:$E$15,5,0)</f>
        <v>0.72</v>
      </c>
      <c r="G567" s="9">
        <f t="shared" si="8"/>
        <v>0.4049586776859504</v>
      </c>
    </row>
    <row r="568" spans="1:7" x14ac:dyDescent="0.25">
      <c r="A568" s="4">
        <v>4</v>
      </c>
      <c r="B568" s="5">
        <v>2</v>
      </c>
      <c r="C568" s="6">
        <v>38270</v>
      </c>
      <c r="D568" s="7">
        <v>2671</v>
      </c>
      <c r="E568" s="8">
        <f>VLOOKUP(B568,T.productos!$A$1:$E$15,4,0)</f>
        <v>1.63</v>
      </c>
      <c r="F568" s="8">
        <f>VLOOKUP(B568,T.productos!$A$1:$E$15,5,0)</f>
        <v>1.42</v>
      </c>
      <c r="G568" s="9">
        <f t="shared" si="8"/>
        <v>0.12883435582822086</v>
      </c>
    </row>
    <row r="569" spans="1:7" x14ac:dyDescent="0.25">
      <c r="A569" s="4">
        <v>2</v>
      </c>
      <c r="B569" s="5">
        <v>9</v>
      </c>
      <c r="C569" s="6">
        <v>38239</v>
      </c>
      <c r="D569" s="7">
        <v>1200</v>
      </c>
      <c r="E569" s="8">
        <f>VLOOKUP(B569,T.productos!$A$1:$E$15,4,0)</f>
        <v>1.21</v>
      </c>
      <c r="F569" s="8">
        <f>VLOOKUP(B569,T.productos!$A$1:$E$15,5,0)</f>
        <v>0.36</v>
      </c>
      <c r="G569" s="9">
        <f t="shared" si="8"/>
        <v>0.7024793388429752</v>
      </c>
    </row>
    <row r="570" spans="1:7" x14ac:dyDescent="0.25">
      <c r="A570" s="4">
        <v>3</v>
      </c>
      <c r="B570" s="5">
        <v>13</v>
      </c>
      <c r="C570" s="6">
        <v>38923</v>
      </c>
      <c r="D570" s="7">
        <v>2828</v>
      </c>
      <c r="E570" s="8">
        <f>VLOOKUP(B570,T.productos!$A$1:$E$15,4,0)</f>
        <v>0.24</v>
      </c>
      <c r="F570" s="8">
        <f>VLOOKUP(B570,T.productos!$A$1:$E$15,5,0)</f>
        <v>0.12</v>
      </c>
      <c r="G570" s="9">
        <f t="shared" si="8"/>
        <v>0.5</v>
      </c>
    </row>
    <row r="571" spans="1:7" x14ac:dyDescent="0.25">
      <c r="A571" s="4">
        <v>3</v>
      </c>
      <c r="B571" s="5">
        <v>6</v>
      </c>
      <c r="C571" s="6">
        <v>39628</v>
      </c>
      <c r="D571" s="7">
        <v>1407</v>
      </c>
      <c r="E571" s="8">
        <f>VLOOKUP(B571,T.productos!$A$1:$E$15,4,0)</f>
        <v>2.42</v>
      </c>
      <c r="F571" s="8">
        <f>VLOOKUP(B571,T.productos!$A$1:$E$15,5,0)</f>
        <v>2.2799999999999998</v>
      </c>
      <c r="G571" s="9">
        <f t="shared" si="8"/>
        <v>5.7851239669421489E-2</v>
      </c>
    </row>
    <row r="572" spans="1:7" x14ac:dyDescent="0.25">
      <c r="A572" s="4">
        <v>1</v>
      </c>
      <c r="B572" s="5">
        <v>9</v>
      </c>
      <c r="C572" s="6">
        <v>38748</v>
      </c>
      <c r="D572" s="7">
        <v>1533</v>
      </c>
      <c r="E572" s="8">
        <f>VLOOKUP(B572,T.productos!$A$1:$E$15,4,0)</f>
        <v>1.21</v>
      </c>
      <c r="F572" s="8">
        <f>VLOOKUP(B572,T.productos!$A$1:$E$15,5,0)</f>
        <v>0.36</v>
      </c>
      <c r="G572" s="9">
        <f t="shared" si="8"/>
        <v>0.7024793388429752</v>
      </c>
    </row>
    <row r="573" spans="1:7" x14ac:dyDescent="0.25">
      <c r="A573" s="4">
        <v>3</v>
      </c>
      <c r="B573" s="5">
        <v>9</v>
      </c>
      <c r="C573" s="6">
        <v>39723</v>
      </c>
      <c r="D573" s="7">
        <v>1587</v>
      </c>
      <c r="E573" s="8">
        <f>VLOOKUP(B573,T.productos!$A$1:$E$15,4,0)</f>
        <v>1.21</v>
      </c>
      <c r="F573" s="8">
        <f>VLOOKUP(B573,T.productos!$A$1:$E$15,5,0)</f>
        <v>0.36</v>
      </c>
      <c r="G573" s="9">
        <f t="shared" si="8"/>
        <v>0.7024793388429752</v>
      </c>
    </row>
    <row r="574" spans="1:7" x14ac:dyDescent="0.25">
      <c r="A574" s="4">
        <v>2</v>
      </c>
      <c r="B574" s="5">
        <v>7</v>
      </c>
      <c r="C574" s="6">
        <v>38443</v>
      </c>
      <c r="D574" s="7">
        <v>2772</v>
      </c>
      <c r="E574" s="8">
        <f>VLOOKUP(B574,T.productos!$A$1:$E$15,4,0)</f>
        <v>0.97</v>
      </c>
      <c r="F574" s="8">
        <f>VLOOKUP(B574,T.productos!$A$1:$E$15,5,0)</f>
        <v>0.19</v>
      </c>
      <c r="G574" s="9">
        <f t="shared" si="8"/>
        <v>0.80412371134020622</v>
      </c>
    </row>
    <row r="575" spans="1:7" x14ac:dyDescent="0.25">
      <c r="A575" s="4">
        <v>2</v>
      </c>
      <c r="B575" s="5">
        <v>13</v>
      </c>
      <c r="C575" s="6">
        <v>38054</v>
      </c>
      <c r="D575" s="7">
        <v>779</v>
      </c>
      <c r="E575" s="8">
        <f>VLOOKUP(B575,T.productos!$A$1:$E$15,4,0)</f>
        <v>0.24</v>
      </c>
      <c r="F575" s="8">
        <f>VLOOKUP(B575,T.productos!$A$1:$E$15,5,0)</f>
        <v>0.12</v>
      </c>
      <c r="G575" s="9">
        <f t="shared" si="8"/>
        <v>0.5</v>
      </c>
    </row>
    <row r="576" spans="1:7" x14ac:dyDescent="0.25">
      <c r="A576" s="4">
        <v>1</v>
      </c>
      <c r="B576" s="5">
        <v>10</v>
      </c>
      <c r="C576" s="6">
        <v>39588</v>
      </c>
      <c r="D576" s="7">
        <v>2118</v>
      </c>
      <c r="E576" s="8">
        <f>VLOOKUP(B576,T.productos!$A$1:$E$15,4,0)</f>
        <v>0.61</v>
      </c>
      <c r="F576" s="8">
        <f>VLOOKUP(B576,T.productos!$A$1:$E$15,5,0)</f>
        <v>0.4</v>
      </c>
      <c r="G576" s="9">
        <f t="shared" si="8"/>
        <v>0.34426229508196721</v>
      </c>
    </row>
    <row r="577" spans="1:7" x14ac:dyDescent="0.25">
      <c r="A577" s="4">
        <v>3</v>
      </c>
      <c r="B577" s="5">
        <v>3</v>
      </c>
      <c r="C577" s="6">
        <v>38441</v>
      </c>
      <c r="D577" s="7">
        <v>2992</v>
      </c>
      <c r="E577" s="8">
        <f>VLOOKUP(B577,T.productos!$A$1:$E$15,4,0)</f>
        <v>1.94</v>
      </c>
      <c r="F577" s="8">
        <f>VLOOKUP(B577,T.productos!$A$1:$E$15,5,0)</f>
        <v>1.89</v>
      </c>
      <c r="G577" s="9">
        <f t="shared" si="8"/>
        <v>2.5773195876288658E-2</v>
      </c>
    </row>
    <row r="578" spans="1:7" x14ac:dyDescent="0.25">
      <c r="A578" s="4">
        <v>2</v>
      </c>
      <c r="B578" s="5">
        <v>12</v>
      </c>
      <c r="C578" s="6">
        <v>38763</v>
      </c>
      <c r="D578" s="7">
        <v>1226</v>
      </c>
      <c r="E578" s="8">
        <f>VLOOKUP(B578,T.productos!$A$1:$E$15,4,0)</f>
        <v>2.42</v>
      </c>
      <c r="F578" s="8">
        <f>VLOOKUP(B578,T.productos!$A$1:$E$15,5,0)</f>
        <v>1.68</v>
      </c>
      <c r="G578" s="9">
        <f t="shared" ref="G578:G641" si="9">margen(D578,E578,F578)</f>
        <v>0.30578512396694213</v>
      </c>
    </row>
    <row r="579" spans="1:7" x14ac:dyDescent="0.25">
      <c r="A579" s="4">
        <v>3</v>
      </c>
      <c r="B579" s="5">
        <v>5</v>
      </c>
      <c r="C579" s="6">
        <v>38981</v>
      </c>
      <c r="D579" s="7">
        <v>2725</v>
      </c>
      <c r="E579" s="8">
        <f>VLOOKUP(B579,T.productos!$A$1:$E$15,4,0)</f>
        <v>2.54</v>
      </c>
      <c r="F579" s="8">
        <f>VLOOKUP(B579,T.productos!$A$1:$E$15,5,0)</f>
        <v>2.2799999999999998</v>
      </c>
      <c r="G579" s="9">
        <f t="shared" si="9"/>
        <v>0.10236220472440945</v>
      </c>
    </row>
    <row r="580" spans="1:7" x14ac:dyDescent="0.25">
      <c r="A580" s="4">
        <v>1</v>
      </c>
      <c r="B580" s="5">
        <v>2</v>
      </c>
      <c r="C580" s="6">
        <v>39943</v>
      </c>
      <c r="D580" s="7">
        <v>2410</v>
      </c>
      <c r="E580" s="8">
        <f>VLOOKUP(B580,T.productos!$A$1:$E$15,4,0)</f>
        <v>1.63</v>
      </c>
      <c r="F580" s="8">
        <f>VLOOKUP(B580,T.productos!$A$1:$E$15,5,0)</f>
        <v>1.42</v>
      </c>
      <c r="G580" s="9">
        <f t="shared" si="9"/>
        <v>0.12883435582822086</v>
      </c>
    </row>
    <row r="581" spans="1:7" x14ac:dyDescent="0.25">
      <c r="A581" s="4">
        <v>5</v>
      </c>
      <c r="B581" s="5">
        <v>9</v>
      </c>
      <c r="C581" s="6">
        <v>38828</v>
      </c>
      <c r="D581" s="7">
        <v>2102</v>
      </c>
      <c r="E581" s="8">
        <f>VLOOKUP(B581,T.productos!$A$1:$E$15,4,0)</f>
        <v>1.21</v>
      </c>
      <c r="F581" s="8">
        <f>VLOOKUP(B581,T.productos!$A$1:$E$15,5,0)</f>
        <v>0.36</v>
      </c>
      <c r="G581" s="9">
        <f t="shared" si="9"/>
        <v>0.7024793388429752</v>
      </c>
    </row>
    <row r="582" spans="1:7" x14ac:dyDescent="0.25">
      <c r="A582" s="4">
        <v>1</v>
      </c>
      <c r="B582" s="5">
        <v>1</v>
      </c>
      <c r="C582" s="6">
        <v>39401</v>
      </c>
      <c r="D582" s="7">
        <v>451</v>
      </c>
      <c r="E582" s="8">
        <f>VLOOKUP(B582,T.productos!$A$1:$E$15,4,0)</f>
        <v>3.93</v>
      </c>
      <c r="F582" s="8">
        <f>VLOOKUP(B582,T.productos!$A$1:$E$15,5,0)</f>
        <v>3.4</v>
      </c>
      <c r="G582" s="9">
        <f t="shared" si="9"/>
        <v>0.13486005089058525</v>
      </c>
    </row>
    <row r="583" spans="1:7" x14ac:dyDescent="0.25">
      <c r="A583" s="4">
        <v>1</v>
      </c>
      <c r="B583" s="5">
        <v>13</v>
      </c>
      <c r="C583" s="6">
        <v>39619</v>
      </c>
      <c r="D583" s="7">
        <v>1652</v>
      </c>
      <c r="E583" s="8">
        <f>VLOOKUP(B583,T.productos!$A$1:$E$15,4,0)</f>
        <v>0.24</v>
      </c>
      <c r="F583" s="8">
        <f>VLOOKUP(B583,T.productos!$A$1:$E$15,5,0)</f>
        <v>0.12</v>
      </c>
      <c r="G583" s="9">
        <f t="shared" si="9"/>
        <v>0.5</v>
      </c>
    </row>
    <row r="584" spans="1:7" x14ac:dyDescent="0.25">
      <c r="A584" s="4">
        <v>2</v>
      </c>
      <c r="B584" s="5">
        <v>1</v>
      </c>
      <c r="C584" s="6">
        <v>38908</v>
      </c>
      <c r="D584" s="7">
        <v>2785</v>
      </c>
      <c r="E584" s="8">
        <f>VLOOKUP(B584,T.productos!$A$1:$E$15,4,0)</f>
        <v>3.93</v>
      </c>
      <c r="F584" s="8">
        <f>VLOOKUP(B584,T.productos!$A$1:$E$15,5,0)</f>
        <v>3.4</v>
      </c>
      <c r="G584" s="9">
        <f t="shared" si="9"/>
        <v>0.13486005089058525</v>
      </c>
    </row>
    <row r="585" spans="1:7" x14ac:dyDescent="0.25">
      <c r="A585" s="4">
        <v>5</v>
      </c>
      <c r="B585" s="5">
        <v>11</v>
      </c>
      <c r="C585" s="6">
        <v>38360</v>
      </c>
      <c r="D585" s="7">
        <v>1803</v>
      </c>
      <c r="E585" s="8">
        <f>VLOOKUP(B585,T.productos!$A$1:$E$15,4,0)</f>
        <v>1.21</v>
      </c>
      <c r="F585" s="8">
        <f>VLOOKUP(B585,T.productos!$A$1:$E$15,5,0)</f>
        <v>0.72</v>
      </c>
      <c r="G585" s="9">
        <f t="shared" si="9"/>
        <v>0.4049586776859504</v>
      </c>
    </row>
    <row r="586" spans="1:7" x14ac:dyDescent="0.25">
      <c r="A586" s="4">
        <v>1</v>
      </c>
      <c r="B586" s="5">
        <v>7</v>
      </c>
      <c r="C586" s="6">
        <v>38261</v>
      </c>
      <c r="D586" s="7">
        <v>1827</v>
      </c>
      <c r="E586" s="8">
        <f>VLOOKUP(B586,T.productos!$A$1:$E$15,4,0)</f>
        <v>0.97</v>
      </c>
      <c r="F586" s="8">
        <f>VLOOKUP(B586,T.productos!$A$1:$E$15,5,0)</f>
        <v>0.19</v>
      </c>
      <c r="G586" s="9">
        <f t="shared" si="9"/>
        <v>0.80412371134020622</v>
      </c>
    </row>
    <row r="587" spans="1:7" x14ac:dyDescent="0.25">
      <c r="A587" s="4">
        <v>5</v>
      </c>
      <c r="B587" s="5">
        <v>6</v>
      </c>
      <c r="C587" s="6">
        <v>38062</v>
      </c>
      <c r="D587" s="7">
        <v>1401</v>
      </c>
      <c r="E587" s="8">
        <f>VLOOKUP(B587,T.productos!$A$1:$E$15,4,0)</f>
        <v>2.42</v>
      </c>
      <c r="F587" s="8">
        <f>VLOOKUP(B587,T.productos!$A$1:$E$15,5,0)</f>
        <v>2.2799999999999998</v>
      </c>
      <c r="G587" s="9">
        <f t="shared" si="9"/>
        <v>5.7851239669421489E-2</v>
      </c>
    </row>
    <row r="588" spans="1:7" x14ac:dyDescent="0.25">
      <c r="A588" s="4">
        <v>1</v>
      </c>
      <c r="B588" s="5">
        <v>11</v>
      </c>
      <c r="C588" s="6">
        <v>38190</v>
      </c>
      <c r="D588" s="7">
        <v>1989</v>
      </c>
      <c r="E588" s="8">
        <f>VLOOKUP(B588,T.productos!$A$1:$E$15,4,0)</f>
        <v>1.21</v>
      </c>
      <c r="F588" s="8">
        <f>VLOOKUP(B588,T.productos!$A$1:$E$15,5,0)</f>
        <v>0.72</v>
      </c>
      <c r="G588" s="9">
        <f t="shared" si="9"/>
        <v>0.4049586776859504</v>
      </c>
    </row>
    <row r="589" spans="1:7" x14ac:dyDescent="0.25">
      <c r="A589" s="4">
        <v>2</v>
      </c>
      <c r="B589" s="5">
        <v>3</v>
      </c>
      <c r="C589" s="6">
        <v>39556</v>
      </c>
      <c r="D589" s="7">
        <v>1688</v>
      </c>
      <c r="E589" s="8">
        <f>VLOOKUP(B589,T.productos!$A$1:$E$15,4,0)</f>
        <v>1.94</v>
      </c>
      <c r="F589" s="8">
        <f>VLOOKUP(B589,T.productos!$A$1:$E$15,5,0)</f>
        <v>1.89</v>
      </c>
      <c r="G589" s="9">
        <f t="shared" si="9"/>
        <v>2.5773195876288658E-2</v>
      </c>
    </row>
    <row r="590" spans="1:7" x14ac:dyDescent="0.25">
      <c r="A590" s="4">
        <v>1</v>
      </c>
      <c r="B590" s="5">
        <v>2</v>
      </c>
      <c r="C590" s="6">
        <v>39787</v>
      </c>
      <c r="D590" s="7">
        <v>1823</v>
      </c>
      <c r="E590" s="8">
        <f>VLOOKUP(B590,T.productos!$A$1:$E$15,4,0)</f>
        <v>1.63</v>
      </c>
      <c r="F590" s="8">
        <f>VLOOKUP(B590,T.productos!$A$1:$E$15,5,0)</f>
        <v>1.42</v>
      </c>
      <c r="G590" s="9">
        <f t="shared" si="9"/>
        <v>0.12883435582822086</v>
      </c>
    </row>
    <row r="591" spans="1:7" x14ac:dyDescent="0.25">
      <c r="A591" s="4">
        <v>5</v>
      </c>
      <c r="B591" s="5">
        <v>1</v>
      </c>
      <c r="C591" s="6">
        <v>39426</v>
      </c>
      <c r="D591" s="7">
        <v>1758</v>
      </c>
      <c r="E591" s="8">
        <f>VLOOKUP(B591,T.productos!$A$1:$E$15,4,0)</f>
        <v>3.93</v>
      </c>
      <c r="F591" s="8">
        <f>VLOOKUP(B591,T.productos!$A$1:$E$15,5,0)</f>
        <v>3.4</v>
      </c>
      <c r="G591" s="9">
        <f t="shared" si="9"/>
        <v>0.13486005089058525</v>
      </c>
    </row>
    <row r="592" spans="1:7" x14ac:dyDescent="0.25">
      <c r="A592" s="4">
        <v>2</v>
      </c>
      <c r="B592" s="5">
        <v>6</v>
      </c>
      <c r="C592" s="6">
        <v>38255</v>
      </c>
      <c r="D592" s="7">
        <v>2136</v>
      </c>
      <c r="E592" s="8">
        <f>VLOOKUP(B592,T.productos!$A$1:$E$15,4,0)</f>
        <v>2.42</v>
      </c>
      <c r="F592" s="8">
        <f>VLOOKUP(B592,T.productos!$A$1:$E$15,5,0)</f>
        <v>2.2799999999999998</v>
      </c>
      <c r="G592" s="9">
        <f t="shared" si="9"/>
        <v>5.7851239669421489E-2</v>
      </c>
    </row>
    <row r="593" spans="1:7" x14ac:dyDescent="0.25">
      <c r="A593" s="4">
        <v>1</v>
      </c>
      <c r="B593" s="5">
        <v>11</v>
      </c>
      <c r="C593" s="6">
        <v>38767</v>
      </c>
      <c r="D593" s="7">
        <v>1866</v>
      </c>
      <c r="E593" s="8">
        <f>VLOOKUP(B593,T.productos!$A$1:$E$15,4,0)</f>
        <v>1.21</v>
      </c>
      <c r="F593" s="8">
        <f>VLOOKUP(B593,T.productos!$A$1:$E$15,5,0)</f>
        <v>0.72</v>
      </c>
      <c r="G593" s="9">
        <f t="shared" si="9"/>
        <v>0.4049586776859504</v>
      </c>
    </row>
    <row r="594" spans="1:7" x14ac:dyDescent="0.25">
      <c r="A594" s="4">
        <v>4</v>
      </c>
      <c r="B594" s="5">
        <v>2</v>
      </c>
      <c r="C594" s="6">
        <v>38909</v>
      </c>
      <c r="D594" s="7">
        <v>2191</v>
      </c>
      <c r="E594" s="8">
        <f>VLOOKUP(B594,T.productos!$A$1:$E$15,4,0)</f>
        <v>1.63</v>
      </c>
      <c r="F594" s="8">
        <f>VLOOKUP(B594,T.productos!$A$1:$E$15,5,0)</f>
        <v>1.42</v>
      </c>
      <c r="G594" s="9">
        <f t="shared" si="9"/>
        <v>0.12883435582822086</v>
      </c>
    </row>
    <row r="595" spans="1:7" x14ac:dyDescent="0.25">
      <c r="A595" s="4">
        <v>3</v>
      </c>
      <c r="B595" s="5">
        <v>13</v>
      </c>
      <c r="C595" s="6">
        <v>38317</v>
      </c>
      <c r="D595" s="7">
        <v>2388</v>
      </c>
      <c r="E595" s="8">
        <f>VLOOKUP(B595,T.productos!$A$1:$E$15,4,0)</f>
        <v>0.24</v>
      </c>
      <c r="F595" s="8">
        <f>VLOOKUP(B595,T.productos!$A$1:$E$15,5,0)</f>
        <v>0.12</v>
      </c>
      <c r="G595" s="9">
        <f t="shared" si="9"/>
        <v>0.5</v>
      </c>
    </row>
    <row r="596" spans="1:7" x14ac:dyDescent="0.25">
      <c r="A596" s="4">
        <v>5</v>
      </c>
      <c r="B596" s="5">
        <v>10</v>
      </c>
      <c r="C596" s="6">
        <v>38660</v>
      </c>
      <c r="D596" s="7">
        <v>1880</v>
      </c>
      <c r="E596" s="8">
        <f>VLOOKUP(B596,T.productos!$A$1:$E$15,4,0)</f>
        <v>0.61</v>
      </c>
      <c r="F596" s="8">
        <f>VLOOKUP(B596,T.productos!$A$1:$E$15,5,0)</f>
        <v>0.4</v>
      </c>
      <c r="G596" s="9">
        <f t="shared" si="9"/>
        <v>0.34426229508196721</v>
      </c>
    </row>
    <row r="597" spans="1:7" x14ac:dyDescent="0.25">
      <c r="A597" s="4">
        <v>4</v>
      </c>
      <c r="B597" s="5">
        <v>7</v>
      </c>
      <c r="C597" s="6">
        <v>39895</v>
      </c>
      <c r="D597" s="7">
        <v>1382</v>
      </c>
      <c r="E597" s="8">
        <f>VLOOKUP(B597,T.productos!$A$1:$E$15,4,0)</f>
        <v>0.97</v>
      </c>
      <c r="F597" s="8">
        <f>VLOOKUP(B597,T.productos!$A$1:$E$15,5,0)</f>
        <v>0.19</v>
      </c>
      <c r="G597" s="9">
        <f t="shared" si="9"/>
        <v>0.80412371134020622</v>
      </c>
    </row>
    <row r="598" spans="1:7" x14ac:dyDescent="0.25">
      <c r="A598" s="4">
        <v>4</v>
      </c>
      <c r="B598" s="5">
        <v>7</v>
      </c>
      <c r="C598" s="6">
        <v>39659</v>
      </c>
      <c r="D598" s="7">
        <v>1548</v>
      </c>
      <c r="E598" s="8">
        <f>VLOOKUP(B598,T.productos!$A$1:$E$15,4,0)</f>
        <v>0.97</v>
      </c>
      <c r="F598" s="8">
        <f>VLOOKUP(B598,T.productos!$A$1:$E$15,5,0)</f>
        <v>0.19</v>
      </c>
      <c r="G598" s="9">
        <f t="shared" si="9"/>
        <v>0.80412371134020622</v>
      </c>
    </row>
    <row r="599" spans="1:7" x14ac:dyDescent="0.25">
      <c r="A599" s="4">
        <v>4</v>
      </c>
      <c r="B599" s="5">
        <v>9</v>
      </c>
      <c r="C599" s="6">
        <v>39540</v>
      </c>
      <c r="D599" s="7">
        <v>1255</v>
      </c>
      <c r="E599" s="8">
        <f>VLOOKUP(B599,T.productos!$A$1:$E$15,4,0)</f>
        <v>1.21</v>
      </c>
      <c r="F599" s="8">
        <f>VLOOKUP(B599,T.productos!$A$1:$E$15,5,0)</f>
        <v>0.36</v>
      </c>
      <c r="G599" s="9">
        <f t="shared" si="9"/>
        <v>0.7024793388429752</v>
      </c>
    </row>
    <row r="600" spans="1:7" x14ac:dyDescent="0.25">
      <c r="A600" s="4">
        <v>3</v>
      </c>
      <c r="B600" s="5">
        <v>11</v>
      </c>
      <c r="C600" s="6">
        <v>38687</v>
      </c>
      <c r="D600" s="7">
        <v>836</v>
      </c>
      <c r="E600" s="8">
        <f>VLOOKUP(B600,T.productos!$A$1:$E$15,4,0)</f>
        <v>1.21</v>
      </c>
      <c r="F600" s="8">
        <f>VLOOKUP(B600,T.productos!$A$1:$E$15,5,0)</f>
        <v>0.72</v>
      </c>
      <c r="G600" s="9">
        <f t="shared" si="9"/>
        <v>0.4049586776859504</v>
      </c>
    </row>
    <row r="601" spans="1:7" x14ac:dyDescent="0.25">
      <c r="A601" s="4">
        <v>1</v>
      </c>
      <c r="B601" s="5">
        <v>6</v>
      </c>
      <c r="C601" s="6">
        <v>38871</v>
      </c>
      <c r="D601" s="7">
        <v>795</v>
      </c>
      <c r="E601" s="8">
        <f>VLOOKUP(B601,T.productos!$A$1:$E$15,4,0)</f>
        <v>2.42</v>
      </c>
      <c r="F601" s="8">
        <f>VLOOKUP(B601,T.productos!$A$1:$E$15,5,0)</f>
        <v>2.2799999999999998</v>
      </c>
      <c r="G601" s="9">
        <f t="shared" si="9"/>
        <v>5.7851239669421489E-2</v>
      </c>
    </row>
    <row r="602" spans="1:7" x14ac:dyDescent="0.25">
      <c r="A602" s="4">
        <v>4</v>
      </c>
      <c r="B602" s="5">
        <v>6</v>
      </c>
      <c r="C602" s="6">
        <v>38550</v>
      </c>
      <c r="D602" s="7">
        <v>593</v>
      </c>
      <c r="E602" s="8">
        <f>VLOOKUP(B602,T.productos!$A$1:$E$15,4,0)</f>
        <v>2.42</v>
      </c>
      <c r="F602" s="8">
        <f>VLOOKUP(B602,T.productos!$A$1:$E$15,5,0)</f>
        <v>2.2799999999999998</v>
      </c>
      <c r="G602" s="9">
        <f t="shared" si="9"/>
        <v>5.7851239669421489E-2</v>
      </c>
    </row>
    <row r="603" spans="1:7" x14ac:dyDescent="0.25">
      <c r="A603" s="4">
        <v>5</v>
      </c>
      <c r="B603" s="5">
        <v>8</v>
      </c>
      <c r="C603" s="6">
        <v>38392</v>
      </c>
      <c r="D603" s="7">
        <v>2084</v>
      </c>
      <c r="E603" s="8">
        <f>VLOOKUP(B603,T.productos!$A$1:$E$15,4,0)</f>
        <v>3.63</v>
      </c>
      <c r="F603" s="8">
        <f>VLOOKUP(B603,T.productos!$A$1:$E$15,5,0)</f>
        <v>3.35</v>
      </c>
      <c r="G603" s="9">
        <f t="shared" si="9"/>
        <v>7.7134986225895319E-2</v>
      </c>
    </row>
    <row r="604" spans="1:7" x14ac:dyDescent="0.25">
      <c r="A604" s="4">
        <v>1</v>
      </c>
      <c r="B604" s="5">
        <v>8</v>
      </c>
      <c r="C604" s="6">
        <v>38052</v>
      </c>
      <c r="D604" s="7">
        <v>2332</v>
      </c>
      <c r="E604" s="8">
        <f>VLOOKUP(B604,T.productos!$A$1:$E$15,4,0)</f>
        <v>3.63</v>
      </c>
      <c r="F604" s="8">
        <f>VLOOKUP(B604,T.productos!$A$1:$E$15,5,0)</f>
        <v>3.35</v>
      </c>
      <c r="G604" s="9">
        <f t="shared" si="9"/>
        <v>7.7134986225895319E-2</v>
      </c>
    </row>
    <row r="605" spans="1:7" x14ac:dyDescent="0.25">
      <c r="A605" s="4">
        <v>3</v>
      </c>
      <c r="B605" s="5">
        <v>3</v>
      </c>
      <c r="C605" s="6">
        <v>39963</v>
      </c>
      <c r="D605" s="7">
        <v>1023</v>
      </c>
      <c r="E605" s="8">
        <f>VLOOKUP(B605,T.productos!$A$1:$E$15,4,0)</f>
        <v>1.94</v>
      </c>
      <c r="F605" s="8">
        <f>VLOOKUP(B605,T.productos!$A$1:$E$15,5,0)</f>
        <v>1.89</v>
      </c>
      <c r="G605" s="9">
        <f t="shared" si="9"/>
        <v>2.5773195876288658E-2</v>
      </c>
    </row>
    <row r="606" spans="1:7" x14ac:dyDescent="0.25">
      <c r="A606" s="4">
        <v>3</v>
      </c>
      <c r="B606" s="5">
        <v>14</v>
      </c>
      <c r="C606" s="6">
        <v>38512</v>
      </c>
      <c r="D606" s="7">
        <v>1773</v>
      </c>
      <c r="E606" s="8">
        <f>VLOOKUP(B606,T.productos!$A$1:$E$15,4,0)</f>
        <v>3.63</v>
      </c>
      <c r="F606" s="8">
        <f>VLOOKUP(B606,T.productos!$A$1:$E$15,5,0)</f>
        <v>3.2</v>
      </c>
      <c r="G606" s="9">
        <f t="shared" si="9"/>
        <v>0.1184573002754821</v>
      </c>
    </row>
    <row r="607" spans="1:7" x14ac:dyDescent="0.25">
      <c r="A607" s="4">
        <v>2</v>
      </c>
      <c r="B607" s="5">
        <v>9</v>
      </c>
      <c r="C607" s="6">
        <v>39521</v>
      </c>
      <c r="D607" s="7">
        <v>432</v>
      </c>
      <c r="E607" s="8">
        <f>VLOOKUP(B607,T.productos!$A$1:$E$15,4,0)</f>
        <v>1.21</v>
      </c>
      <c r="F607" s="8">
        <f>VLOOKUP(B607,T.productos!$A$1:$E$15,5,0)</f>
        <v>0.36</v>
      </c>
      <c r="G607" s="9">
        <f t="shared" si="9"/>
        <v>0.7024793388429752</v>
      </c>
    </row>
    <row r="608" spans="1:7" x14ac:dyDescent="0.25">
      <c r="A608" s="4">
        <v>3</v>
      </c>
      <c r="B608" s="5">
        <v>1</v>
      </c>
      <c r="C608" s="6">
        <v>39939</v>
      </c>
      <c r="D608" s="7">
        <v>1525</v>
      </c>
      <c r="E608" s="8">
        <f>VLOOKUP(B608,T.productos!$A$1:$E$15,4,0)</f>
        <v>3.93</v>
      </c>
      <c r="F608" s="8">
        <f>VLOOKUP(B608,T.productos!$A$1:$E$15,5,0)</f>
        <v>3.4</v>
      </c>
      <c r="G608" s="9">
        <f t="shared" si="9"/>
        <v>0.13486005089058525</v>
      </c>
    </row>
    <row r="609" spans="1:7" x14ac:dyDescent="0.25">
      <c r="A609" s="4">
        <v>2</v>
      </c>
      <c r="B609" s="5">
        <v>2</v>
      </c>
      <c r="C609" s="6">
        <v>39304</v>
      </c>
      <c r="D609" s="7">
        <v>1017</v>
      </c>
      <c r="E609" s="8">
        <f>VLOOKUP(B609,T.productos!$A$1:$E$15,4,0)</f>
        <v>1.63</v>
      </c>
      <c r="F609" s="8">
        <f>VLOOKUP(B609,T.productos!$A$1:$E$15,5,0)</f>
        <v>1.42</v>
      </c>
      <c r="G609" s="9">
        <f t="shared" si="9"/>
        <v>0.12883435582822086</v>
      </c>
    </row>
    <row r="610" spans="1:7" x14ac:dyDescent="0.25">
      <c r="A610" s="4">
        <v>3</v>
      </c>
      <c r="B610" s="5">
        <v>1</v>
      </c>
      <c r="C610" s="6">
        <v>38232</v>
      </c>
      <c r="D610" s="7">
        <v>1501</v>
      </c>
      <c r="E610" s="8">
        <f>VLOOKUP(B610,T.productos!$A$1:$E$15,4,0)</f>
        <v>3.93</v>
      </c>
      <c r="F610" s="8">
        <f>VLOOKUP(B610,T.productos!$A$1:$E$15,5,0)</f>
        <v>3.4</v>
      </c>
      <c r="G610" s="9">
        <f t="shared" si="9"/>
        <v>0.13486005089058525</v>
      </c>
    </row>
    <row r="611" spans="1:7" x14ac:dyDescent="0.25">
      <c r="A611" s="4">
        <v>3</v>
      </c>
      <c r="B611" s="5">
        <v>3</v>
      </c>
      <c r="C611" s="6">
        <v>39151</v>
      </c>
      <c r="D611" s="7">
        <v>1835</v>
      </c>
      <c r="E611" s="8">
        <f>VLOOKUP(B611,T.productos!$A$1:$E$15,4,0)</f>
        <v>1.94</v>
      </c>
      <c r="F611" s="8">
        <f>VLOOKUP(B611,T.productos!$A$1:$E$15,5,0)</f>
        <v>1.89</v>
      </c>
      <c r="G611" s="9">
        <f t="shared" si="9"/>
        <v>2.5773195876288658E-2</v>
      </c>
    </row>
    <row r="612" spans="1:7" x14ac:dyDescent="0.25">
      <c r="A612" s="4">
        <v>4</v>
      </c>
      <c r="B612" s="5">
        <v>3</v>
      </c>
      <c r="C612" s="6">
        <v>38425</v>
      </c>
      <c r="D612" s="7">
        <v>1571</v>
      </c>
      <c r="E612" s="8">
        <f>VLOOKUP(B612,T.productos!$A$1:$E$15,4,0)</f>
        <v>1.94</v>
      </c>
      <c r="F612" s="8">
        <f>VLOOKUP(B612,T.productos!$A$1:$E$15,5,0)</f>
        <v>1.89</v>
      </c>
      <c r="G612" s="9">
        <f t="shared" si="9"/>
        <v>2.5773195876288658E-2</v>
      </c>
    </row>
    <row r="613" spans="1:7" x14ac:dyDescent="0.25">
      <c r="A613" s="4">
        <v>4</v>
      </c>
      <c r="B613" s="5">
        <v>8</v>
      </c>
      <c r="C613" s="6">
        <v>39904</v>
      </c>
      <c r="D613" s="7">
        <v>1657</v>
      </c>
      <c r="E613" s="8">
        <f>VLOOKUP(B613,T.productos!$A$1:$E$15,4,0)</f>
        <v>3.63</v>
      </c>
      <c r="F613" s="8">
        <f>VLOOKUP(B613,T.productos!$A$1:$E$15,5,0)</f>
        <v>3.35</v>
      </c>
      <c r="G613" s="9">
        <f t="shared" si="9"/>
        <v>7.7134986225895319E-2</v>
      </c>
    </row>
    <row r="614" spans="1:7" x14ac:dyDescent="0.25">
      <c r="A614" s="4">
        <v>3</v>
      </c>
      <c r="B614" s="5">
        <v>9</v>
      </c>
      <c r="C614" s="6">
        <v>38352</v>
      </c>
      <c r="D614" s="7">
        <v>2605</v>
      </c>
      <c r="E614" s="8">
        <f>VLOOKUP(B614,T.productos!$A$1:$E$15,4,0)</f>
        <v>1.21</v>
      </c>
      <c r="F614" s="8">
        <f>VLOOKUP(B614,T.productos!$A$1:$E$15,5,0)</f>
        <v>0.36</v>
      </c>
      <c r="G614" s="9">
        <f t="shared" si="9"/>
        <v>0.7024793388429752</v>
      </c>
    </row>
    <row r="615" spans="1:7" x14ac:dyDescent="0.25">
      <c r="A615" s="4">
        <v>4</v>
      </c>
      <c r="B615" s="5">
        <v>2</v>
      </c>
      <c r="C615" s="6">
        <v>38932</v>
      </c>
      <c r="D615" s="7">
        <v>1144</v>
      </c>
      <c r="E615" s="8">
        <f>VLOOKUP(B615,T.productos!$A$1:$E$15,4,0)</f>
        <v>1.63</v>
      </c>
      <c r="F615" s="8">
        <f>VLOOKUP(B615,T.productos!$A$1:$E$15,5,0)</f>
        <v>1.42</v>
      </c>
      <c r="G615" s="9">
        <f t="shared" si="9"/>
        <v>0.12883435582822086</v>
      </c>
    </row>
    <row r="616" spans="1:7" x14ac:dyDescent="0.25">
      <c r="A616" s="4">
        <v>2</v>
      </c>
      <c r="B616" s="5">
        <v>14</v>
      </c>
      <c r="C616" s="6">
        <v>38170</v>
      </c>
      <c r="D616" s="7">
        <v>2759</v>
      </c>
      <c r="E616" s="8">
        <f>VLOOKUP(B616,T.productos!$A$1:$E$15,4,0)</f>
        <v>3.63</v>
      </c>
      <c r="F616" s="8">
        <f>VLOOKUP(B616,T.productos!$A$1:$E$15,5,0)</f>
        <v>3.2</v>
      </c>
      <c r="G616" s="9">
        <f t="shared" si="9"/>
        <v>0.1184573002754821</v>
      </c>
    </row>
    <row r="617" spans="1:7" x14ac:dyDescent="0.25">
      <c r="A617" s="4">
        <v>2</v>
      </c>
      <c r="B617" s="5">
        <v>14</v>
      </c>
      <c r="C617" s="6">
        <v>38255</v>
      </c>
      <c r="D617" s="7">
        <v>1250</v>
      </c>
      <c r="E617" s="8">
        <f>VLOOKUP(B617,T.productos!$A$1:$E$15,4,0)</f>
        <v>3.63</v>
      </c>
      <c r="F617" s="8">
        <f>VLOOKUP(B617,T.productos!$A$1:$E$15,5,0)</f>
        <v>3.2</v>
      </c>
      <c r="G617" s="9">
        <f t="shared" si="9"/>
        <v>0.1184573002754821</v>
      </c>
    </row>
    <row r="618" spans="1:7" x14ac:dyDescent="0.25">
      <c r="A618" s="4">
        <v>3</v>
      </c>
      <c r="B618" s="5">
        <v>8</v>
      </c>
      <c r="C618" s="6">
        <v>39157</v>
      </c>
      <c r="D618" s="7">
        <v>1196</v>
      </c>
      <c r="E618" s="8">
        <f>VLOOKUP(B618,T.productos!$A$1:$E$15,4,0)</f>
        <v>3.63</v>
      </c>
      <c r="F618" s="8">
        <f>VLOOKUP(B618,T.productos!$A$1:$E$15,5,0)</f>
        <v>3.35</v>
      </c>
      <c r="G618" s="9">
        <f t="shared" si="9"/>
        <v>7.7134986225895319E-2</v>
      </c>
    </row>
    <row r="619" spans="1:7" x14ac:dyDescent="0.25">
      <c r="A619" s="4">
        <v>3</v>
      </c>
      <c r="B619" s="5">
        <v>14</v>
      </c>
      <c r="C619" s="6">
        <v>39564</v>
      </c>
      <c r="D619" s="7">
        <v>2958</v>
      </c>
      <c r="E619" s="8">
        <f>VLOOKUP(B619,T.productos!$A$1:$E$15,4,0)</f>
        <v>3.63</v>
      </c>
      <c r="F619" s="8">
        <f>VLOOKUP(B619,T.productos!$A$1:$E$15,5,0)</f>
        <v>3.2</v>
      </c>
      <c r="G619" s="9">
        <f t="shared" si="9"/>
        <v>0.1184573002754821</v>
      </c>
    </row>
    <row r="620" spans="1:7" x14ac:dyDescent="0.25">
      <c r="A620" s="4">
        <v>3</v>
      </c>
      <c r="B620" s="5">
        <v>14</v>
      </c>
      <c r="C620" s="6">
        <v>38501</v>
      </c>
      <c r="D620" s="7">
        <v>1685</v>
      </c>
      <c r="E620" s="8">
        <f>VLOOKUP(B620,T.productos!$A$1:$E$15,4,0)</f>
        <v>3.63</v>
      </c>
      <c r="F620" s="8">
        <f>VLOOKUP(B620,T.productos!$A$1:$E$15,5,0)</f>
        <v>3.2</v>
      </c>
      <c r="G620" s="9">
        <f t="shared" si="9"/>
        <v>0.1184573002754821</v>
      </c>
    </row>
    <row r="621" spans="1:7" x14ac:dyDescent="0.25">
      <c r="A621" s="4">
        <v>4</v>
      </c>
      <c r="B621" s="5">
        <v>3</v>
      </c>
      <c r="C621" s="6">
        <v>39117</v>
      </c>
      <c r="D621" s="7">
        <v>2195</v>
      </c>
      <c r="E621" s="8">
        <f>VLOOKUP(B621,T.productos!$A$1:$E$15,4,0)</f>
        <v>1.94</v>
      </c>
      <c r="F621" s="8">
        <f>VLOOKUP(B621,T.productos!$A$1:$E$15,5,0)</f>
        <v>1.89</v>
      </c>
      <c r="G621" s="9">
        <f t="shared" si="9"/>
        <v>2.5773195876288658E-2</v>
      </c>
    </row>
    <row r="622" spans="1:7" x14ac:dyDescent="0.25">
      <c r="A622" s="4">
        <v>5</v>
      </c>
      <c r="B622" s="5">
        <v>1</v>
      </c>
      <c r="C622" s="6">
        <v>38402</v>
      </c>
      <c r="D622" s="7">
        <v>1852</v>
      </c>
      <c r="E622" s="8">
        <f>VLOOKUP(B622,T.productos!$A$1:$E$15,4,0)</f>
        <v>3.93</v>
      </c>
      <c r="F622" s="8">
        <f>VLOOKUP(B622,T.productos!$A$1:$E$15,5,0)</f>
        <v>3.4</v>
      </c>
      <c r="G622" s="9">
        <f t="shared" si="9"/>
        <v>0.13486005089058525</v>
      </c>
    </row>
    <row r="623" spans="1:7" x14ac:dyDescent="0.25">
      <c r="A623" s="4">
        <v>1</v>
      </c>
      <c r="B623" s="5">
        <v>8</v>
      </c>
      <c r="C623" s="6">
        <v>39641</v>
      </c>
      <c r="D623" s="7">
        <v>1392</v>
      </c>
      <c r="E623" s="8">
        <f>VLOOKUP(B623,T.productos!$A$1:$E$15,4,0)</f>
        <v>3.63</v>
      </c>
      <c r="F623" s="8">
        <f>VLOOKUP(B623,T.productos!$A$1:$E$15,5,0)</f>
        <v>3.35</v>
      </c>
      <c r="G623" s="9">
        <f t="shared" si="9"/>
        <v>7.7134986225895319E-2</v>
      </c>
    </row>
    <row r="624" spans="1:7" x14ac:dyDescent="0.25">
      <c r="A624" s="4">
        <v>3</v>
      </c>
      <c r="B624" s="5">
        <v>14</v>
      </c>
      <c r="C624" s="6">
        <v>39021</v>
      </c>
      <c r="D624" s="7">
        <v>2820</v>
      </c>
      <c r="E624" s="8">
        <f>VLOOKUP(B624,T.productos!$A$1:$E$15,4,0)</f>
        <v>3.63</v>
      </c>
      <c r="F624" s="8">
        <f>VLOOKUP(B624,T.productos!$A$1:$E$15,5,0)</f>
        <v>3.2</v>
      </c>
      <c r="G624" s="9">
        <f t="shared" si="9"/>
        <v>0.1184573002754821</v>
      </c>
    </row>
    <row r="625" spans="1:7" x14ac:dyDescent="0.25">
      <c r="A625" s="4">
        <v>3</v>
      </c>
      <c r="B625" s="5">
        <v>11</v>
      </c>
      <c r="C625" s="6">
        <v>39875</v>
      </c>
      <c r="D625" s="7">
        <v>1061</v>
      </c>
      <c r="E625" s="8">
        <f>VLOOKUP(B625,T.productos!$A$1:$E$15,4,0)</f>
        <v>1.21</v>
      </c>
      <c r="F625" s="8">
        <f>VLOOKUP(B625,T.productos!$A$1:$E$15,5,0)</f>
        <v>0.72</v>
      </c>
      <c r="G625" s="9">
        <f t="shared" si="9"/>
        <v>0.4049586776859504</v>
      </c>
    </row>
    <row r="626" spans="1:7" x14ac:dyDescent="0.25">
      <c r="A626" s="4">
        <v>1</v>
      </c>
      <c r="B626" s="5">
        <v>7</v>
      </c>
      <c r="C626" s="6">
        <v>38870</v>
      </c>
      <c r="D626" s="7">
        <v>1219</v>
      </c>
      <c r="E626" s="8">
        <f>VLOOKUP(B626,T.productos!$A$1:$E$15,4,0)</f>
        <v>0.97</v>
      </c>
      <c r="F626" s="8">
        <f>VLOOKUP(B626,T.productos!$A$1:$E$15,5,0)</f>
        <v>0.19</v>
      </c>
      <c r="G626" s="9">
        <f t="shared" si="9"/>
        <v>0.80412371134020622</v>
      </c>
    </row>
    <row r="627" spans="1:7" x14ac:dyDescent="0.25">
      <c r="A627" s="4">
        <v>1</v>
      </c>
      <c r="B627" s="5">
        <v>11</v>
      </c>
      <c r="C627" s="6">
        <v>38547</v>
      </c>
      <c r="D627" s="7">
        <v>1734</v>
      </c>
      <c r="E627" s="8">
        <f>VLOOKUP(B627,T.productos!$A$1:$E$15,4,0)</f>
        <v>1.21</v>
      </c>
      <c r="F627" s="8">
        <f>VLOOKUP(B627,T.productos!$A$1:$E$15,5,0)</f>
        <v>0.72</v>
      </c>
      <c r="G627" s="9">
        <f t="shared" si="9"/>
        <v>0.4049586776859504</v>
      </c>
    </row>
    <row r="628" spans="1:7" x14ac:dyDescent="0.25">
      <c r="A628" s="4">
        <v>1</v>
      </c>
      <c r="B628" s="5">
        <v>11</v>
      </c>
      <c r="C628" s="6">
        <v>38590</v>
      </c>
      <c r="D628" s="7">
        <v>2896</v>
      </c>
      <c r="E628" s="8">
        <f>VLOOKUP(B628,T.productos!$A$1:$E$15,4,0)</f>
        <v>1.21</v>
      </c>
      <c r="F628" s="8">
        <f>VLOOKUP(B628,T.productos!$A$1:$E$15,5,0)</f>
        <v>0.72</v>
      </c>
      <c r="G628" s="9">
        <f t="shared" si="9"/>
        <v>0.4049586776859504</v>
      </c>
    </row>
    <row r="629" spans="1:7" x14ac:dyDescent="0.25">
      <c r="A629" s="4">
        <v>4</v>
      </c>
      <c r="B629" s="5">
        <v>11</v>
      </c>
      <c r="C629" s="6">
        <v>38589</v>
      </c>
      <c r="D629" s="7">
        <v>590</v>
      </c>
      <c r="E629" s="8">
        <f>VLOOKUP(B629,T.productos!$A$1:$E$15,4,0)</f>
        <v>1.21</v>
      </c>
      <c r="F629" s="8">
        <f>VLOOKUP(B629,T.productos!$A$1:$E$15,5,0)</f>
        <v>0.72</v>
      </c>
      <c r="G629" s="9">
        <f t="shared" si="9"/>
        <v>0.4049586776859504</v>
      </c>
    </row>
    <row r="630" spans="1:7" x14ac:dyDescent="0.25">
      <c r="A630" s="4">
        <v>1</v>
      </c>
      <c r="B630" s="5">
        <v>2</v>
      </c>
      <c r="C630" s="6">
        <v>38060</v>
      </c>
      <c r="D630" s="7">
        <v>678</v>
      </c>
      <c r="E630" s="8">
        <f>VLOOKUP(B630,T.productos!$A$1:$E$15,4,0)</f>
        <v>1.63</v>
      </c>
      <c r="F630" s="8">
        <f>VLOOKUP(B630,T.productos!$A$1:$E$15,5,0)</f>
        <v>1.42</v>
      </c>
      <c r="G630" s="9">
        <f t="shared" si="9"/>
        <v>0.12883435582822086</v>
      </c>
    </row>
    <row r="631" spans="1:7" x14ac:dyDescent="0.25">
      <c r="A631" s="4">
        <v>2</v>
      </c>
      <c r="B631" s="5">
        <v>5</v>
      </c>
      <c r="C631" s="6">
        <v>39875</v>
      </c>
      <c r="D631" s="7">
        <v>2364</v>
      </c>
      <c r="E631" s="8">
        <f>VLOOKUP(B631,T.productos!$A$1:$E$15,4,0)</f>
        <v>2.54</v>
      </c>
      <c r="F631" s="8">
        <f>VLOOKUP(B631,T.productos!$A$1:$E$15,5,0)</f>
        <v>2.2799999999999998</v>
      </c>
      <c r="G631" s="9">
        <f t="shared" si="9"/>
        <v>0.10236220472440945</v>
      </c>
    </row>
    <row r="632" spans="1:7" x14ac:dyDescent="0.25">
      <c r="A632" s="4">
        <v>2</v>
      </c>
      <c r="B632" s="5">
        <v>12</v>
      </c>
      <c r="C632" s="6">
        <v>38537</v>
      </c>
      <c r="D632" s="7">
        <v>2167</v>
      </c>
      <c r="E632" s="8">
        <f>VLOOKUP(B632,T.productos!$A$1:$E$15,4,0)</f>
        <v>2.42</v>
      </c>
      <c r="F632" s="8">
        <f>VLOOKUP(B632,T.productos!$A$1:$E$15,5,0)</f>
        <v>1.68</v>
      </c>
      <c r="G632" s="9">
        <f t="shared" si="9"/>
        <v>0.30578512396694213</v>
      </c>
    </row>
    <row r="633" spans="1:7" x14ac:dyDescent="0.25">
      <c r="A633" s="4">
        <v>1</v>
      </c>
      <c r="B633" s="5">
        <v>1</v>
      </c>
      <c r="C633" s="6">
        <v>38036</v>
      </c>
      <c r="D633" s="7">
        <v>2300</v>
      </c>
      <c r="E633" s="8">
        <f>VLOOKUP(B633,T.productos!$A$1:$E$15,4,0)</f>
        <v>3.93</v>
      </c>
      <c r="F633" s="8">
        <f>VLOOKUP(B633,T.productos!$A$1:$E$15,5,0)</f>
        <v>3.4</v>
      </c>
      <c r="G633" s="9">
        <f t="shared" si="9"/>
        <v>0.13486005089058525</v>
      </c>
    </row>
    <row r="634" spans="1:7" x14ac:dyDescent="0.25">
      <c r="A634" s="4">
        <v>2</v>
      </c>
      <c r="B634" s="5">
        <v>10</v>
      </c>
      <c r="C634" s="6">
        <v>39433</v>
      </c>
      <c r="D634" s="7">
        <v>2472</v>
      </c>
      <c r="E634" s="8">
        <f>VLOOKUP(B634,T.productos!$A$1:$E$15,4,0)</f>
        <v>0.61</v>
      </c>
      <c r="F634" s="8">
        <f>VLOOKUP(B634,T.productos!$A$1:$E$15,5,0)</f>
        <v>0.4</v>
      </c>
      <c r="G634" s="9">
        <f t="shared" si="9"/>
        <v>0.34426229508196721</v>
      </c>
    </row>
    <row r="635" spans="1:7" x14ac:dyDescent="0.25">
      <c r="A635" s="4">
        <v>4</v>
      </c>
      <c r="B635" s="5">
        <v>11</v>
      </c>
      <c r="C635" s="6">
        <v>39120</v>
      </c>
      <c r="D635" s="7">
        <v>593</v>
      </c>
      <c r="E635" s="8">
        <f>VLOOKUP(B635,T.productos!$A$1:$E$15,4,0)</f>
        <v>1.21</v>
      </c>
      <c r="F635" s="8">
        <f>VLOOKUP(B635,T.productos!$A$1:$E$15,5,0)</f>
        <v>0.72</v>
      </c>
      <c r="G635" s="9">
        <f t="shared" si="9"/>
        <v>0.4049586776859504</v>
      </c>
    </row>
    <row r="636" spans="1:7" x14ac:dyDescent="0.25">
      <c r="A636" s="4">
        <v>1</v>
      </c>
      <c r="B636" s="5">
        <v>9</v>
      </c>
      <c r="C636" s="6">
        <v>39976</v>
      </c>
      <c r="D636" s="7">
        <v>2441</v>
      </c>
      <c r="E636" s="8">
        <f>VLOOKUP(B636,T.productos!$A$1:$E$15,4,0)</f>
        <v>1.21</v>
      </c>
      <c r="F636" s="8">
        <f>VLOOKUP(B636,T.productos!$A$1:$E$15,5,0)</f>
        <v>0.36</v>
      </c>
      <c r="G636" s="9">
        <f t="shared" si="9"/>
        <v>0.7024793388429752</v>
      </c>
    </row>
    <row r="637" spans="1:7" x14ac:dyDescent="0.25">
      <c r="A637" s="4">
        <v>4</v>
      </c>
      <c r="B637" s="5">
        <v>11</v>
      </c>
      <c r="C637" s="6">
        <v>38989</v>
      </c>
      <c r="D637" s="7">
        <v>926</v>
      </c>
      <c r="E637" s="8">
        <f>VLOOKUP(B637,T.productos!$A$1:$E$15,4,0)</f>
        <v>1.21</v>
      </c>
      <c r="F637" s="8">
        <f>VLOOKUP(B637,T.productos!$A$1:$E$15,5,0)</f>
        <v>0.72</v>
      </c>
      <c r="G637" s="9">
        <f t="shared" si="9"/>
        <v>0.4049586776859504</v>
      </c>
    </row>
    <row r="638" spans="1:7" x14ac:dyDescent="0.25">
      <c r="A638" s="4">
        <v>4</v>
      </c>
      <c r="B638" s="5">
        <v>7</v>
      </c>
      <c r="C638" s="6">
        <v>38350</v>
      </c>
      <c r="D638" s="7">
        <v>1656</v>
      </c>
      <c r="E638" s="8">
        <f>VLOOKUP(B638,T.productos!$A$1:$E$15,4,0)</f>
        <v>0.97</v>
      </c>
      <c r="F638" s="8">
        <f>VLOOKUP(B638,T.productos!$A$1:$E$15,5,0)</f>
        <v>0.19</v>
      </c>
      <c r="G638" s="9">
        <f t="shared" si="9"/>
        <v>0.80412371134020622</v>
      </c>
    </row>
    <row r="639" spans="1:7" x14ac:dyDescent="0.25">
      <c r="A639" s="4">
        <v>4</v>
      </c>
      <c r="B639" s="5">
        <v>10</v>
      </c>
      <c r="C639" s="6">
        <v>38198</v>
      </c>
      <c r="D639" s="7">
        <v>1470</v>
      </c>
      <c r="E639" s="8">
        <f>VLOOKUP(B639,T.productos!$A$1:$E$15,4,0)</f>
        <v>0.61</v>
      </c>
      <c r="F639" s="8">
        <f>VLOOKUP(B639,T.productos!$A$1:$E$15,5,0)</f>
        <v>0.4</v>
      </c>
      <c r="G639" s="9">
        <f t="shared" si="9"/>
        <v>0.34426229508196721</v>
      </c>
    </row>
    <row r="640" spans="1:7" x14ac:dyDescent="0.25">
      <c r="A640" s="4">
        <v>4</v>
      </c>
      <c r="B640" s="5">
        <v>9</v>
      </c>
      <c r="C640" s="6">
        <v>38567</v>
      </c>
      <c r="D640" s="7">
        <v>365</v>
      </c>
      <c r="E640" s="8">
        <f>VLOOKUP(B640,T.productos!$A$1:$E$15,4,0)</f>
        <v>1.21</v>
      </c>
      <c r="F640" s="8">
        <f>VLOOKUP(B640,T.productos!$A$1:$E$15,5,0)</f>
        <v>0.36</v>
      </c>
      <c r="G640" s="9">
        <f t="shared" si="9"/>
        <v>0.7024793388429752</v>
      </c>
    </row>
    <row r="641" spans="1:7" x14ac:dyDescent="0.25">
      <c r="A641" s="4">
        <v>5</v>
      </c>
      <c r="B641" s="5">
        <v>7</v>
      </c>
      <c r="C641" s="6">
        <v>38425</v>
      </c>
      <c r="D641" s="7">
        <v>593</v>
      </c>
      <c r="E641" s="8">
        <f>VLOOKUP(B641,T.productos!$A$1:$E$15,4,0)</f>
        <v>0.97</v>
      </c>
      <c r="F641" s="8">
        <f>VLOOKUP(B641,T.productos!$A$1:$E$15,5,0)</f>
        <v>0.19</v>
      </c>
      <c r="G641" s="9">
        <f t="shared" si="9"/>
        <v>0.80412371134020622</v>
      </c>
    </row>
    <row r="642" spans="1:7" x14ac:dyDescent="0.25">
      <c r="A642" s="4">
        <v>1</v>
      </c>
      <c r="B642" s="5">
        <v>12</v>
      </c>
      <c r="C642" s="6">
        <v>39579</v>
      </c>
      <c r="D642" s="7">
        <v>751</v>
      </c>
      <c r="E642" s="8">
        <f>VLOOKUP(B642,T.productos!$A$1:$E$15,4,0)</f>
        <v>2.42</v>
      </c>
      <c r="F642" s="8">
        <f>VLOOKUP(B642,T.productos!$A$1:$E$15,5,0)</f>
        <v>1.68</v>
      </c>
      <c r="G642" s="9">
        <f t="shared" ref="G642:G705" si="10">margen(D642,E642,F642)</f>
        <v>0.30578512396694213</v>
      </c>
    </row>
    <row r="643" spans="1:7" x14ac:dyDescent="0.25">
      <c r="A643" s="4">
        <v>1</v>
      </c>
      <c r="B643" s="5">
        <v>13</v>
      </c>
      <c r="C643" s="6">
        <v>38997</v>
      </c>
      <c r="D643" s="7">
        <v>2745</v>
      </c>
      <c r="E643" s="8">
        <f>VLOOKUP(B643,T.productos!$A$1:$E$15,4,0)</f>
        <v>0.24</v>
      </c>
      <c r="F643" s="8">
        <f>VLOOKUP(B643,T.productos!$A$1:$E$15,5,0)</f>
        <v>0.12</v>
      </c>
      <c r="G643" s="9">
        <f t="shared" si="10"/>
        <v>0.5</v>
      </c>
    </row>
    <row r="644" spans="1:7" x14ac:dyDescent="0.25">
      <c r="A644" s="4">
        <v>4</v>
      </c>
      <c r="B644" s="5">
        <v>2</v>
      </c>
      <c r="C644" s="6">
        <v>39313</v>
      </c>
      <c r="D644" s="7">
        <v>2724</v>
      </c>
      <c r="E644" s="8">
        <f>VLOOKUP(B644,T.productos!$A$1:$E$15,4,0)</f>
        <v>1.63</v>
      </c>
      <c r="F644" s="8">
        <f>VLOOKUP(B644,T.productos!$A$1:$E$15,5,0)</f>
        <v>1.42</v>
      </c>
      <c r="G644" s="9">
        <f t="shared" si="10"/>
        <v>0.12883435582822086</v>
      </c>
    </row>
    <row r="645" spans="1:7" x14ac:dyDescent="0.25">
      <c r="A645" s="4">
        <v>1</v>
      </c>
      <c r="B645" s="5">
        <v>5</v>
      </c>
      <c r="C645" s="6">
        <v>39790</v>
      </c>
      <c r="D645" s="7">
        <v>2372</v>
      </c>
      <c r="E645" s="8">
        <f>VLOOKUP(B645,T.productos!$A$1:$E$15,4,0)</f>
        <v>2.54</v>
      </c>
      <c r="F645" s="8">
        <f>VLOOKUP(B645,T.productos!$A$1:$E$15,5,0)</f>
        <v>2.2799999999999998</v>
      </c>
      <c r="G645" s="9">
        <f t="shared" si="10"/>
        <v>0.10236220472440945</v>
      </c>
    </row>
    <row r="646" spans="1:7" x14ac:dyDescent="0.25">
      <c r="A646" s="4">
        <v>2</v>
      </c>
      <c r="B646" s="5">
        <v>11</v>
      </c>
      <c r="C646" s="6">
        <v>39804</v>
      </c>
      <c r="D646" s="7">
        <v>412</v>
      </c>
      <c r="E646" s="8">
        <f>VLOOKUP(B646,T.productos!$A$1:$E$15,4,0)</f>
        <v>1.21</v>
      </c>
      <c r="F646" s="8">
        <f>VLOOKUP(B646,T.productos!$A$1:$E$15,5,0)</f>
        <v>0.72</v>
      </c>
      <c r="G646" s="9">
        <f t="shared" si="10"/>
        <v>0.4049586776859504</v>
      </c>
    </row>
    <row r="647" spans="1:7" x14ac:dyDescent="0.25">
      <c r="A647" s="4">
        <v>4</v>
      </c>
      <c r="B647" s="5">
        <v>1</v>
      </c>
      <c r="C647" s="6">
        <v>39689</v>
      </c>
      <c r="D647" s="7">
        <v>1687</v>
      </c>
      <c r="E647" s="8">
        <f>VLOOKUP(B647,T.productos!$A$1:$E$15,4,0)</f>
        <v>3.93</v>
      </c>
      <c r="F647" s="8">
        <f>VLOOKUP(B647,T.productos!$A$1:$E$15,5,0)</f>
        <v>3.4</v>
      </c>
      <c r="G647" s="9">
        <f t="shared" si="10"/>
        <v>0.13486005089058525</v>
      </c>
    </row>
    <row r="648" spans="1:7" x14ac:dyDescent="0.25">
      <c r="A648" s="4">
        <v>4</v>
      </c>
      <c r="B648" s="5">
        <v>7</v>
      </c>
      <c r="C648" s="6">
        <v>38275</v>
      </c>
      <c r="D648" s="7">
        <v>1056</v>
      </c>
      <c r="E648" s="8">
        <f>VLOOKUP(B648,T.productos!$A$1:$E$15,4,0)</f>
        <v>0.97</v>
      </c>
      <c r="F648" s="8">
        <f>VLOOKUP(B648,T.productos!$A$1:$E$15,5,0)</f>
        <v>0.19</v>
      </c>
      <c r="G648" s="9">
        <f t="shared" si="10"/>
        <v>0.80412371134020622</v>
      </c>
    </row>
    <row r="649" spans="1:7" x14ac:dyDescent="0.25">
      <c r="A649" s="4">
        <v>1</v>
      </c>
      <c r="B649" s="5">
        <v>6</v>
      </c>
      <c r="C649" s="6">
        <v>39092</v>
      </c>
      <c r="D649" s="7">
        <v>764</v>
      </c>
      <c r="E649" s="8">
        <f>VLOOKUP(B649,T.productos!$A$1:$E$15,4,0)</f>
        <v>2.42</v>
      </c>
      <c r="F649" s="8">
        <f>VLOOKUP(B649,T.productos!$A$1:$E$15,5,0)</f>
        <v>2.2799999999999998</v>
      </c>
      <c r="G649" s="9">
        <f t="shared" si="10"/>
        <v>5.7851239669421489E-2</v>
      </c>
    </row>
    <row r="650" spans="1:7" x14ac:dyDescent="0.25">
      <c r="A650" s="4">
        <v>3</v>
      </c>
      <c r="B650" s="5">
        <v>10</v>
      </c>
      <c r="C650" s="6">
        <v>39495</v>
      </c>
      <c r="D650" s="7">
        <v>2160</v>
      </c>
      <c r="E650" s="8">
        <f>VLOOKUP(B650,T.productos!$A$1:$E$15,4,0)</f>
        <v>0.61</v>
      </c>
      <c r="F650" s="8">
        <f>VLOOKUP(B650,T.productos!$A$1:$E$15,5,0)</f>
        <v>0.4</v>
      </c>
      <c r="G650" s="9">
        <f t="shared" si="10"/>
        <v>0.34426229508196721</v>
      </c>
    </row>
    <row r="651" spans="1:7" x14ac:dyDescent="0.25">
      <c r="A651" s="4">
        <v>1</v>
      </c>
      <c r="B651" s="5">
        <v>4</v>
      </c>
      <c r="C651" s="6">
        <v>39036</v>
      </c>
      <c r="D651" s="7">
        <v>1121</v>
      </c>
      <c r="E651" s="8">
        <f>VLOOKUP(B651,T.productos!$A$1:$E$15,4,0)</f>
        <v>0.61</v>
      </c>
      <c r="F651" s="8">
        <f>VLOOKUP(B651,T.productos!$A$1:$E$15,5,0)</f>
        <v>0.28999999999999998</v>
      </c>
      <c r="G651" s="9">
        <f t="shared" si="10"/>
        <v>0.52459016393442626</v>
      </c>
    </row>
    <row r="652" spans="1:7" x14ac:dyDescent="0.25">
      <c r="A652" s="4">
        <v>4</v>
      </c>
      <c r="B652" s="5">
        <v>13</v>
      </c>
      <c r="C652" s="6">
        <v>38880</v>
      </c>
      <c r="D652" s="7">
        <v>398</v>
      </c>
      <c r="E652" s="8">
        <f>VLOOKUP(B652,T.productos!$A$1:$E$15,4,0)</f>
        <v>0.24</v>
      </c>
      <c r="F652" s="8">
        <f>VLOOKUP(B652,T.productos!$A$1:$E$15,5,0)</f>
        <v>0.12</v>
      </c>
      <c r="G652" s="9">
        <f t="shared" si="10"/>
        <v>0.5</v>
      </c>
    </row>
    <row r="653" spans="1:7" x14ac:dyDescent="0.25">
      <c r="A653" s="4">
        <v>2</v>
      </c>
      <c r="B653" s="5">
        <v>9</v>
      </c>
      <c r="C653" s="6">
        <v>38925</v>
      </c>
      <c r="D653" s="7">
        <v>1623</v>
      </c>
      <c r="E653" s="8">
        <f>VLOOKUP(B653,T.productos!$A$1:$E$15,4,0)</f>
        <v>1.21</v>
      </c>
      <c r="F653" s="8">
        <f>VLOOKUP(B653,T.productos!$A$1:$E$15,5,0)</f>
        <v>0.36</v>
      </c>
      <c r="G653" s="9">
        <f t="shared" si="10"/>
        <v>0.7024793388429752</v>
      </c>
    </row>
    <row r="654" spans="1:7" x14ac:dyDescent="0.25">
      <c r="A654" s="4">
        <v>2</v>
      </c>
      <c r="B654" s="5">
        <v>9</v>
      </c>
      <c r="C654" s="6">
        <v>39406</v>
      </c>
      <c r="D654" s="7">
        <v>2786</v>
      </c>
      <c r="E654" s="8">
        <f>VLOOKUP(B654,T.productos!$A$1:$E$15,4,0)</f>
        <v>1.21</v>
      </c>
      <c r="F654" s="8">
        <f>VLOOKUP(B654,T.productos!$A$1:$E$15,5,0)</f>
        <v>0.36</v>
      </c>
      <c r="G654" s="9">
        <f t="shared" si="10"/>
        <v>0.7024793388429752</v>
      </c>
    </row>
    <row r="655" spans="1:7" x14ac:dyDescent="0.25">
      <c r="A655" s="4">
        <v>2</v>
      </c>
      <c r="B655" s="5">
        <v>8</v>
      </c>
      <c r="C655" s="6">
        <v>39968</v>
      </c>
      <c r="D655" s="7">
        <v>1743</v>
      </c>
      <c r="E655" s="8">
        <f>VLOOKUP(B655,T.productos!$A$1:$E$15,4,0)</f>
        <v>3.63</v>
      </c>
      <c r="F655" s="8">
        <f>VLOOKUP(B655,T.productos!$A$1:$E$15,5,0)</f>
        <v>3.35</v>
      </c>
      <c r="G655" s="9">
        <f t="shared" si="10"/>
        <v>7.7134986225895319E-2</v>
      </c>
    </row>
    <row r="656" spans="1:7" x14ac:dyDescent="0.25">
      <c r="A656" s="4">
        <v>1</v>
      </c>
      <c r="B656" s="5">
        <v>14</v>
      </c>
      <c r="C656" s="6">
        <v>38437</v>
      </c>
      <c r="D656" s="7">
        <v>941</v>
      </c>
      <c r="E656" s="8">
        <f>VLOOKUP(B656,T.productos!$A$1:$E$15,4,0)</f>
        <v>3.63</v>
      </c>
      <c r="F656" s="8">
        <f>VLOOKUP(B656,T.productos!$A$1:$E$15,5,0)</f>
        <v>3.2</v>
      </c>
      <c r="G656" s="9">
        <f t="shared" si="10"/>
        <v>0.1184573002754821</v>
      </c>
    </row>
    <row r="657" spans="1:7" x14ac:dyDescent="0.25">
      <c r="A657" s="4">
        <v>2</v>
      </c>
      <c r="B657" s="5">
        <v>10</v>
      </c>
      <c r="C657" s="6">
        <v>39769</v>
      </c>
      <c r="D657" s="7">
        <v>1200</v>
      </c>
      <c r="E657" s="8">
        <f>VLOOKUP(B657,T.productos!$A$1:$E$15,4,0)</f>
        <v>0.61</v>
      </c>
      <c r="F657" s="8">
        <f>VLOOKUP(B657,T.productos!$A$1:$E$15,5,0)</f>
        <v>0.4</v>
      </c>
      <c r="G657" s="9">
        <f t="shared" si="10"/>
        <v>0.34426229508196721</v>
      </c>
    </row>
    <row r="658" spans="1:7" x14ac:dyDescent="0.25">
      <c r="A658" s="4">
        <v>4</v>
      </c>
      <c r="B658" s="5">
        <v>10</v>
      </c>
      <c r="C658" s="6">
        <v>38011</v>
      </c>
      <c r="D658" s="7">
        <v>338</v>
      </c>
      <c r="E658" s="8">
        <f>VLOOKUP(B658,T.productos!$A$1:$E$15,4,0)</f>
        <v>0.61</v>
      </c>
      <c r="F658" s="8">
        <f>VLOOKUP(B658,T.productos!$A$1:$E$15,5,0)</f>
        <v>0.4</v>
      </c>
      <c r="G658" s="9">
        <f t="shared" si="10"/>
        <v>0.34426229508196721</v>
      </c>
    </row>
    <row r="659" spans="1:7" x14ac:dyDescent="0.25">
      <c r="A659" s="4">
        <v>2</v>
      </c>
      <c r="B659" s="5">
        <v>7</v>
      </c>
      <c r="C659" s="6">
        <v>39693</v>
      </c>
      <c r="D659" s="7">
        <v>509</v>
      </c>
      <c r="E659" s="8">
        <f>VLOOKUP(B659,T.productos!$A$1:$E$15,4,0)</f>
        <v>0.97</v>
      </c>
      <c r="F659" s="8">
        <f>VLOOKUP(B659,T.productos!$A$1:$E$15,5,0)</f>
        <v>0.19</v>
      </c>
      <c r="G659" s="9">
        <f t="shared" si="10"/>
        <v>0.80412371134020622</v>
      </c>
    </row>
    <row r="660" spans="1:7" x14ac:dyDescent="0.25">
      <c r="A660" s="4">
        <v>1</v>
      </c>
      <c r="B660" s="5">
        <v>5</v>
      </c>
      <c r="C660" s="6">
        <v>39473</v>
      </c>
      <c r="D660" s="7">
        <v>789</v>
      </c>
      <c r="E660" s="8">
        <f>VLOOKUP(B660,T.productos!$A$1:$E$15,4,0)</f>
        <v>2.54</v>
      </c>
      <c r="F660" s="8">
        <f>VLOOKUP(B660,T.productos!$A$1:$E$15,5,0)</f>
        <v>2.2799999999999998</v>
      </c>
      <c r="G660" s="9">
        <f t="shared" si="10"/>
        <v>0.10236220472440945</v>
      </c>
    </row>
    <row r="661" spans="1:7" x14ac:dyDescent="0.25">
      <c r="A661" s="4">
        <v>5</v>
      </c>
      <c r="B661" s="5">
        <v>2</v>
      </c>
      <c r="C661" s="6">
        <v>39895</v>
      </c>
      <c r="D661" s="7">
        <v>1031</v>
      </c>
      <c r="E661" s="8">
        <f>VLOOKUP(B661,T.productos!$A$1:$E$15,4,0)</f>
        <v>1.63</v>
      </c>
      <c r="F661" s="8">
        <f>VLOOKUP(B661,T.productos!$A$1:$E$15,5,0)</f>
        <v>1.42</v>
      </c>
      <c r="G661" s="9">
        <f t="shared" si="10"/>
        <v>0.12883435582822086</v>
      </c>
    </row>
    <row r="662" spans="1:7" x14ac:dyDescent="0.25">
      <c r="A662" s="4">
        <v>2</v>
      </c>
      <c r="B662" s="5">
        <v>8</v>
      </c>
      <c r="C662" s="6">
        <v>38456</v>
      </c>
      <c r="D662" s="7">
        <v>2605</v>
      </c>
      <c r="E662" s="8">
        <f>VLOOKUP(B662,T.productos!$A$1:$E$15,4,0)</f>
        <v>3.63</v>
      </c>
      <c r="F662" s="8">
        <f>VLOOKUP(B662,T.productos!$A$1:$E$15,5,0)</f>
        <v>3.35</v>
      </c>
      <c r="G662" s="9">
        <f t="shared" si="10"/>
        <v>7.7134986225895319E-2</v>
      </c>
    </row>
    <row r="663" spans="1:7" x14ac:dyDescent="0.25">
      <c r="A663" s="4">
        <v>4</v>
      </c>
      <c r="B663" s="5">
        <v>10</v>
      </c>
      <c r="C663" s="6">
        <v>38426</v>
      </c>
      <c r="D663" s="7">
        <v>746</v>
      </c>
      <c r="E663" s="8">
        <f>VLOOKUP(B663,T.productos!$A$1:$E$15,4,0)</f>
        <v>0.61</v>
      </c>
      <c r="F663" s="8">
        <f>VLOOKUP(B663,T.productos!$A$1:$E$15,5,0)</f>
        <v>0.4</v>
      </c>
      <c r="G663" s="9">
        <f t="shared" si="10"/>
        <v>0.34426229508196721</v>
      </c>
    </row>
    <row r="664" spans="1:7" x14ac:dyDescent="0.25">
      <c r="A664" s="4">
        <v>3</v>
      </c>
      <c r="B664" s="5">
        <v>12</v>
      </c>
      <c r="C664" s="6">
        <v>40000</v>
      </c>
      <c r="D664" s="7">
        <v>1378</v>
      </c>
      <c r="E664" s="8">
        <f>VLOOKUP(B664,T.productos!$A$1:$E$15,4,0)</f>
        <v>2.42</v>
      </c>
      <c r="F664" s="8">
        <f>VLOOKUP(B664,T.productos!$A$1:$E$15,5,0)</f>
        <v>1.68</v>
      </c>
      <c r="G664" s="9">
        <f t="shared" si="10"/>
        <v>0.30578512396694213</v>
      </c>
    </row>
    <row r="665" spans="1:7" x14ac:dyDescent="0.25">
      <c r="A665" s="4">
        <v>1</v>
      </c>
      <c r="B665" s="5">
        <v>6</v>
      </c>
      <c r="C665" s="6">
        <v>39281</v>
      </c>
      <c r="D665" s="7">
        <v>1012</v>
      </c>
      <c r="E665" s="8">
        <f>VLOOKUP(B665,T.productos!$A$1:$E$15,4,0)</f>
        <v>2.42</v>
      </c>
      <c r="F665" s="8">
        <f>VLOOKUP(B665,T.productos!$A$1:$E$15,5,0)</f>
        <v>2.2799999999999998</v>
      </c>
      <c r="G665" s="9">
        <f t="shared" si="10"/>
        <v>5.7851239669421489E-2</v>
      </c>
    </row>
    <row r="666" spans="1:7" x14ac:dyDescent="0.25">
      <c r="A666" s="4">
        <v>2</v>
      </c>
      <c r="B666" s="5">
        <v>5</v>
      </c>
      <c r="C666" s="6">
        <v>39326</v>
      </c>
      <c r="D666" s="7">
        <v>364</v>
      </c>
      <c r="E666" s="8">
        <f>VLOOKUP(B666,T.productos!$A$1:$E$15,4,0)</f>
        <v>2.54</v>
      </c>
      <c r="F666" s="8">
        <f>VLOOKUP(B666,T.productos!$A$1:$E$15,5,0)</f>
        <v>2.2799999999999998</v>
      </c>
      <c r="G666" s="9">
        <f t="shared" si="10"/>
        <v>0.10236220472440945</v>
      </c>
    </row>
    <row r="667" spans="1:7" x14ac:dyDescent="0.25">
      <c r="A667" s="4">
        <v>3</v>
      </c>
      <c r="B667" s="5">
        <v>3</v>
      </c>
      <c r="C667" s="6">
        <v>38070</v>
      </c>
      <c r="D667" s="7">
        <v>1703</v>
      </c>
      <c r="E667" s="8">
        <f>VLOOKUP(B667,T.productos!$A$1:$E$15,4,0)</f>
        <v>1.94</v>
      </c>
      <c r="F667" s="8">
        <f>VLOOKUP(B667,T.productos!$A$1:$E$15,5,0)</f>
        <v>1.89</v>
      </c>
      <c r="G667" s="9">
        <f t="shared" si="10"/>
        <v>2.5773195876288658E-2</v>
      </c>
    </row>
    <row r="668" spans="1:7" x14ac:dyDescent="0.25">
      <c r="A668" s="4">
        <v>3</v>
      </c>
      <c r="B668" s="5">
        <v>9</v>
      </c>
      <c r="C668" s="6">
        <v>38710</v>
      </c>
      <c r="D668" s="7">
        <v>747</v>
      </c>
      <c r="E668" s="8">
        <f>VLOOKUP(B668,T.productos!$A$1:$E$15,4,0)</f>
        <v>1.21</v>
      </c>
      <c r="F668" s="8">
        <f>VLOOKUP(B668,T.productos!$A$1:$E$15,5,0)</f>
        <v>0.36</v>
      </c>
      <c r="G668" s="9">
        <f t="shared" si="10"/>
        <v>0.7024793388429752</v>
      </c>
    </row>
    <row r="669" spans="1:7" x14ac:dyDescent="0.25">
      <c r="A669" s="4">
        <v>2</v>
      </c>
      <c r="B669" s="5">
        <v>9</v>
      </c>
      <c r="C669" s="6">
        <v>39225</v>
      </c>
      <c r="D669" s="7">
        <v>2956</v>
      </c>
      <c r="E669" s="8">
        <f>VLOOKUP(B669,T.productos!$A$1:$E$15,4,0)</f>
        <v>1.21</v>
      </c>
      <c r="F669" s="8">
        <f>VLOOKUP(B669,T.productos!$A$1:$E$15,5,0)</f>
        <v>0.36</v>
      </c>
      <c r="G669" s="9">
        <f t="shared" si="10"/>
        <v>0.7024793388429752</v>
      </c>
    </row>
    <row r="670" spans="1:7" x14ac:dyDescent="0.25">
      <c r="A670" s="4">
        <v>3</v>
      </c>
      <c r="B670" s="5">
        <v>10</v>
      </c>
      <c r="C670" s="6">
        <v>38064</v>
      </c>
      <c r="D670" s="7">
        <v>555</v>
      </c>
      <c r="E670" s="8">
        <f>VLOOKUP(B670,T.productos!$A$1:$E$15,4,0)</f>
        <v>0.61</v>
      </c>
      <c r="F670" s="8">
        <f>VLOOKUP(B670,T.productos!$A$1:$E$15,5,0)</f>
        <v>0.4</v>
      </c>
      <c r="G670" s="9">
        <f t="shared" si="10"/>
        <v>0.34426229508196721</v>
      </c>
    </row>
    <row r="671" spans="1:7" x14ac:dyDescent="0.25">
      <c r="A671" s="4">
        <v>5</v>
      </c>
      <c r="B671" s="5">
        <v>14</v>
      </c>
      <c r="C671" s="6">
        <v>38191</v>
      </c>
      <c r="D671" s="7">
        <v>1566</v>
      </c>
      <c r="E671" s="8">
        <f>VLOOKUP(B671,T.productos!$A$1:$E$15,4,0)</f>
        <v>3.63</v>
      </c>
      <c r="F671" s="8">
        <f>VLOOKUP(B671,T.productos!$A$1:$E$15,5,0)</f>
        <v>3.2</v>
      </c>
      <c r="G671" s="9">
        <f t="shared" si="10"/>
        <v>0.1184573002754821</v>
      </c>
    </row>
    <row r="672" spans="1:7" x14ac:dyDescent="0.25">
      <c r="A672" s="4">
        <v>1</v>
      </c>
      <c r="B672" s="5">
        <v>14</v>
      </c>
      <c r="C672" s="6">
        <v>38472</v>
      </c>
      <c r="D672" s="7">
        <v>1802</v>
      </c>
      <c r="E672" s="8">
        <f>VLOOKUP(B672,T.productos!$A$1:$E$15,4,0)</f>
        <v>3.63</v>
      </c>
      <c r="F672" s="8">
        <f>VLOOKUP(B672,T.productos!$A$1:$E$15,5,0)</f>
        <v>3.2</v>
      </c>
      <c r="G672" s="9">
        <f t="shared" si="10"/>
        <v>0.1184573002754821</v>
      </c>
    </row>
    <row r="673" spans="1:7" x14ac:dyDescent="0.25">
      <c r="A673" s="4">
        <v>4</v>
      </c>
      <c r="B673" s="5">
        <v>8</v>
      </c>
      <c r="C673" s="6">
        <v>39544</v>
      </c>
      <c r="D673" s="7">
        <v>2505</v>
      </c>
      <c r="E673" s="8">
        <f>VLOOKUP(B673,T.productos!$A$1:$E$15,4,0)</f>
        <v>3.63</v>
      </c>
      <c r="F673" s="8">
        <f>VLOOKUP(B673,T.productos!$A$1:$E$15,5,0)</f>
        <v>3.35</v>
      </c>
      <c r="G673" s="9">
        <f t="shared" si="10"/>
        <v>7.7134986225895319E-2</v>
      </c>
    </row>
    <row r="674" spans="1:7" x14ac:dyDescent="0.25">
      <c r="A674" s="4">
        <v>2</v>
      </c>
      <c r="B674" s="5">
        <v>4</v>
      </c>
      <c r="C674" s="6">
        <v>39022</v>
      </c>
      <c r="D674" s="7">
        <v>529</v>
      </c>
      <c r="E674" s="8">
        <f>VLOOKUP(B674,T.productos!$A$1:$E$15,4,0)</f>
        <v>0.61</v>
      </c>
      <c r="F674" s="8">
        <f>VLOOKUP(B674,T.productos!$A$1:$E$15,5,0)</f>
        <v>0.28999999999999998</v>
      </c>
      <c r="G674" s="9">
        <f t="shared" si="10"/>
        <v>0.52459016393442626</v>
      </c>
    </row>
    <row r="675" spans="1:7" x14ac:dyDescent="0.25">
      <c r="A675" s="4">
        <v>3</v>
      </c>
      <c r="B675" s="5">
        <v>1</v>
      </c>
      <c r="C675" s="6">
        <v>39863</v>
      </c>
      <c r="D675" s="7">
        <v>1843</v>
      </c>
      <c r="E675" s="8">
        <f>VLOOKUP(B675,T.productos!$A$1:$E$15,4,0)</f>
        <v>3.93</v>
      </c>
      <c r="F675" s="8">
        <f>VLOOKUP(B675,T.productos!$A$1:$E$15,5,0)</f>
        <v>3.4</v>
      </c>
      <c r="G675" s="9">
        <f t="shared" si="10"/>
        <v>0.13486005089058525</v>
      </c>
    </row>
    <row r="676" spans="1:7" x14ac:dyDescent="0.25">
      <c r="A676" s="4">
        <v>5</v>
      </c>
      <c r="B676" s="5">
        <v>4</v>
      </c>
      <c r="C676" s="6">
        <v>39398</v>
      </c>
      <c r="D676" s="7">
        <v>2105</v>
      </c>
      <c r="E676" s="8">
        <f>VLOOKUP(B676,T.productos!$A$1:$E$15,4,0)</f>
        <v>0.61</v>
      </c>
      <c r="F676" s="8">
        <f>VLOOKUP(B676,T.productos!$A$1:$E$15,5,0)</f>
        <v>0.28999999999999998</v>
      </c>
      <c r="G676" s="9">
        <f t="shared" si="10"/>
        <v>0.52459016393442626</v>
      </c>
    </row>
    <row r="677" spans="1:7" x14ac:dyDescent="0.25">
      <c r="A677" s="4">
        <v>3</v>
      </c>
      <c r="B677" s="5">
        <v>7</v>
      </c>
      <c r="C677" s="6">
        <v>38745</v>
      </c>
      <c r="D677" s="7">
        <v>2966</v>
      </c>
      <c r="E677" s="8">
        <f>VLOOKUP(B677,T.productos!$A$1:$E$15,4,0)</f>
        <v>0.97</v>
      </c>
      <c r="F677" s="8">
        <f>VLOOKUP(B677,T.productos!$A$1:$E$15,5,0)</f>
        <v>0.19</v>
      </c>
      <c r="G677" s="9">
        <f t="shared" si="10"/>
        <v>0.80412371134020622</v>
      </c>
    </row>
    <row r="678" spans="1:7" x14ac:dyDescent="0.25">
      <c r="A678" s="4">
        <v>3</v>
      </c>
      <c r="B678" s="5">
        <v>7</v>
      </c>
      <c r="C678" s="6">
        <v>39036</v>
      </c>
      <c r="D678" s="7">
        <v>1513</v>
      </c>
      <c r="E678" s="8">
        <f>VLOOKUP(B678,T.productos!$A$1:$E$15,4,0)</f>
        <v>0.97</v>
      </c>
      <c r="F678" s="8">
        <f>VLOOKUP(B678,T.productos!$A$1:$E$15,5,0)</f>
        <v>0.19</v>
      </c>
      <c r="G678" s="9">
        <f t="shared" si="10"/>
        <v>0.80412371134020622</v>
      </c>
    </row>
    <row r="679" spans="1:7" x14ac:dyDescent="0.25">
      <c r="A679" s="4">
        <v>4</v>
      </c>
      <c r="B679" s="5">
        <v>12</v>
      </c>
      <c r="C679" s="6">
        <v>39689</v>
      </c>
      <c r="D679" s="7">
        <v>1468</v>
      </c>
      <c r="E679" s="8">
        <f>VLOOKUP(B679,T.productos!$A$1:$E$15,4,0)</f>
        <v>2.42</v>
      </c>
      <c r="F679" s="8">
        <f>VLOOKUP(B679,T.productos!$A$1:$E$15,5,0)</f>
        <v>1.68</v>
      </c>
      <c r="G679" s="9">
        <f t="shared" si="10"/>
        <v>0.30578512396694213</v>
      </c>
    </row>
    <row r="680" spans="1:7" x14ac:dyDescent="0.25">
      <c r="A680" s="4">
        <v>1</v>
      </c>
      <c r="B680" s="5">
        <v>7</v>
      </c>
      <c r="C680" s="6">
        <v>38381</v>
      </c>
      <c r="D680" s="7">
        <v>2390</v>
      </c>
      <c r="E680" s="8">
        <f>VLOOKUP(B680,T.productos!$A$1:$E$15,4,0)</f>
        <v>0.97</v>
      </c>
      <c r="F680" s="8">
        <f>VLOOKUP(B680,T.productos!$A$1:$E$15,5,0)</f>
        <v>0.19</v>
      </c>
      <c r="G680" s="9">
        <f t="shared" si="10"/>
        <v>0.80412371134020622</v>
      </c>
    </row>
    <row r="681" spans="1:7" x14ac:dyDescent="0.25">
      <c r="A681" s="4">
        <v>2</v>
      </c>
      <c r="B681" s="5">
        <v>5</v>
      </c>
      <c r="C681" s="6">
        <v>39533</v>
      </c>
      <c r="D681" s="7">
        <v>802</v>
      </c>
      <c r="E681" s="8">
        <f>VLOOKUP(B681,T.productos!$A$1:$E$15,4,0)</f>
        <v>2.54</v>
      </c>
      <c r="F681" s="8">
        <f>VLOOKUP(B681,T.productos!$A$1:$E$15,5,0)</f>
        <v>2.2799999999999998</v>
      </c>
      <c r="G681" s="9">
        <f t="shared" si="10"/>
        <v>0.10236220472440945</v>
      </c>
    </row>
    <row r="682" spans="1:7" x14ac:dyDescent="0.25">
      <c r="A682" s="4">
        <v>5</v>
      </c>
      <c r="B682" s="5">
        <v>2</v>
      </c>
      <c r="C682" s="6">
        <v>39419</v>
      </c>
      <c r="D682" s="7">
        <v>2442</v>
      </c>
      <c r="E682" s="8">
        <f>VLOOKUP(B682,T.productos!$A$1:$E$15,4,0)</f>
        <v>1.63</v>
      </c>
      <c r="F682" s="8">
        <f>VLOOKUP(B682,T.productos!$A$1:$E$15,5,0)</f>
        <v>1.42</v>
      </c>
      <c r="G682" s="9">
        <f t="shared" si="10"/>
        <v>0.12883435582822086</v>
      </c>
    </row>
    <row r="683" spans="1:7" x14ac:dyDescent="0.25">
      <c r="A683" s="4">
        <v>2</v>
      </c>
      <c r="B683" s="5">
        <v>6</v>
      </c>
      <c r="C683" s="6">
        <v>39342</v>
      </c>
      <c r="D683" s="7">
        <v>2008</v>
      </c>
      <c r="E683" s="8">
        <f>VLOOKUP(B683,T.productos!$A$1:$E$15,4,0)</f>
        <v>2.42</v>
      </c>
      <c r="F683" s="8">
        <f>VLOOKUP(B683,T.productos!$A$1:$E$15,5,0)</f>
        <v>2.2799999999999998</v>
      </c>
      <c r="G683" s="9">
        <f t="shared" si="10"/>
        <v>5.7851239669421489E-2</v>
      </c>
    </row>
    <row r="684" spans="1:7" x14ac:dyDescent="0.25">
      <c r="A684" s="4">
        <v>1</v>
      </c>
      <c r="B684" s="5">
        <v>4</v>
      </c>
      <c r="C684" s="6">
        <v>39409</v>
      </c>
      <c r="D684" s="7">
        <v>424</v>
      </c>
      <c r="E684" s="8">
        <f>VLOOKUP(B684,T.productos!$A$1:$E$15,4,0)</f>
        <v>0.61</v>
      </c>
      <c r="F684" s="8">
        <f>VLOOKUP(B684,T.productos!$A$1:$E$15,5,0)</f>
        <v>0.28999999999999998</v>
      </c>
      <c r="G684" s="9">
        <f t="shared" si="10"/>
        <v>0.52459016393442626</v>
      </c>
    </row>
    <row r="685" spans="1:7" x14ac:dyDescent="0.25">
      <c r="A685" s="4">
        <v>4</v>
      </c>
      <c r="B685" s="5">
        <v>8</v>
      </c>
      <c r="C685" s="6">
        <v>38035</v>
      </c>
      <c r="D685" s="7">
        <v>1517</v>
      </c>
      <c r="E685" s="8">
        <f>VLOOKUP(B685,T.productos!$A$1:$E$15,4,0)</f>
        <v>3.63</v>
      </c>
      <c r="F685" s="8">
        <f>VLOOKUP(B685,T.productos!$A$1:$E$15,5,0)</f>
        <v>3.35</v>
      </c>
      <c r="G685" s="9">
        <f t="shared" si="10"/>
        <v>7.7134986225895319E-2</v>
      </c>
    </row>
    <row r="686" spans="1:7" x14ac:dyDescent="0.25">
      <c r="A686" s="4">
        <v>2</v>
      </c>
      <c r="B686" s="5">
        <v>8</v>
      </c>
      <c r="C686" s="6">
        <v>38957</v>
      </c>
      <c r="D686" s="7">
        <v>2488</v>
      </c>
      <c r="E686" s="8">
        <f>VLOOKUP(B686,T.productos!$A$1:$E$15,4,0)</f>
        <v>3.63</v>
      </c>
      <c r="F686" s="8">
        <f>VLOOKUP(B686,T.productos!$A$1:$E$15,5,0)</f>
        <v>3.35</v>
      </c>
      <c r="G686" s="9">
        <f t="shared" si="10"/>
        <v>7.7134986225895319E-2</v>
      </c>
    </row>
    <row r="687" spans="1:7" x14ac:dyDescent="0.25">
      <c r="A687" s="4">
        <v>5</v>
      </c>
      <c r="B687" s="5">
        <v>8</v>
      </c>
      <c r="C687" s="6">
        <v>39717</v>
      </c>
      <c r="D687" s="7">
        <v>2803</v>
      </c>
      <c r="E687" s="8">
        <f>VLOOKUP(B687,T.productos!$A$1:$E$15,4,0)</f>
        <v>3.63</v>
      </c>
      <c r="F687" s="8">
        <f>VLOOKUP(B687,T.productos!$A$1:$E$15,5,0)</f>
        <v>3.35</v>
      </c>
      <c r="G687" s="9">
        <f t="shared" si="10"/>
        <v>7.7134986225895319E-2</v>
      </c>
    </row>
    <row r="688" spans="1:7" x14ac:dyDescent="0.25">
      <c r="A688" s="4">
        <v>3</v>
      </c>
      <c r="B688" s="5">
        <v>9</v>
      </c>
      <c r="C688" s="6">
        <v>38753</v>
      </c>
      <c r="D688" s="7">
        <v>1505</v>
      </c>
      <c r="E688" s="8">
        <f>VLOOKUP(B688,T.productos!$A$1:$E$15,4,0)</f>
        <v>1.21</v>
      </c>
      <c r="F688" s="8">
        <f>VLOOKUP(B688,T.productos!$A$1:$E$15,5,0)</f>
        <v>0.36</v>
      </c>
      <c r="G688" s="9">
        <f t="shared" si="10"/>
        <v>0.7024793388429752</v>
      </c>
    </row>
    <row r="689" spans="1:7" x14ac:dyDescent="0.25">
      <c r="A689" s="4">
        <v>1</v>
      </c>
      <c r="B689" s="5">
        <v>7</v>
      </c>
      <c r="C689" s="6">
        <v>39175</v>
      </c>
      <c r="D689" s="7">
        <v>2832</v>
      </c>
      <c r="E689" s="8">
        <f>VLOOKUP(B689,T.productos!$A$1:$E$15,4,0)</f>
        <v>0.97</v>
      </c>
      <c r="F689" s="8">
        <f>VLOOKUP(B689,T.productos!$A$1:$E$15,5,0)</f>
        <v>0.19</v>
      </c>
      <c r="G689" s="9">
        <f t="shared" si="10"/>
        <v>0.80412371134020622</v>
      </c>
    </row>
    <row r="690" spans="1:7" x14ac:dyDescent="0.25">
      <c r="A690" s="4">
        <v>2</v>
      </c>
      <c r="B690" s="5">
        <v>7</v>
      </c>
      <c r="C690" s="6">
        <v>39125</v>
      </c>
      <c r="D690" s="7">
        <v>638</v>
      </c>
      <c r="E690" s="8">
        <f>VLOOKUP(B690,T.productos!$A$1:$E$15,4,0)</f>
        <v>0.97</v>
      </c>
      <c r="F690" s="8">
        <f>VLOOKUP(B690,T.productos!$A$1:$E$15,5,0)</f>
        <v>0.19</v>
      </c>
      <c r="G690" s="9">
        <f t="shared" si="10"/>
        <v>0.80412371134020622</v>
      </c>
    </row>
    <row r="691" spans="1:7" x14ac:dyDescent="0.25">
      <c r="A691" s="4">
        <v>3</v>
      </c>
      <c r="B691" s="5">
        <v>4</v>
      </c>
      <c r="C691" s="6">
        <v>39605</v>
      </c>
      <c r="D691" s="7">
        <v>2712</v>
      </c>
      <c r="E691" s="8">
        <f>VLOOKUP(B691,T.productos!$A$1:$E$15,4,0)</f>
        <v>0.61</v>
      </c>
      <c r="F691" s="8">
        <f>VLOOKUP(B691,T.productos!$A$1:$E$15,5,0)</f>
        <v>0.28999999999999998</v>
      </c>
      <c r="G691" s="9">
        <f t="shared" si="10"/>
        <v>0.52459016393442626</v>
      </c>
    </row>
    <row r="692" spans="1:7" x14ac:dyDescent="0.25">
      <c r="A692" s="4">
        <v>4</v>
      </c>
      <c r="B692" s="5">
        <v>14</v>
      </c>
      <c r="C692" s="6">
        <v>39584</v>
      </c>
      <c r="D692" s="7">
        <v>424</v>
      </c>
      <c r="E692" s="8">
        <f>VLOOKUP(B692,T.productos!$A$1:$E$15,4,0)</f>
        <v>3.63</v>
      </c>
      <c r="F692" s="8">
        <f>VLOOKUP(B692,T.productos!$A$1:$E$15,5,0)</f>
        <v>3.2</v>
      </c>
      <c r="G692" s="9">
        <f t="shared" si="10"/>
        <v>0.1184573002754821</v>
      </c>
    </row>
    <row r="693" spans="1:7" x14ac:dyDescent="0.25">
      <c r="A693" s="4">
        <v>1</v>
      </c>
      <c r="B693" s="5">
        <v>8</v>
      </c>
      <c r="C693" s="6">
        <v>38151</v>
      </c>
      <c r="D693" s="7">
        <v>473</v>
      </c>
      <c r="E693" s="8">
        <f>VLOOKUP(B693,T.productos!$A$1:$E$15,4,0)</f>
        <v>3.63</v>
      </c>
      <c r="F693" s="8">
        <f>VLOOKUP(B693,T.productos!$A$1:$E$15,5,0)</f>
        <v>3.35</v>
      </c>
      <c r="G693" s="9">
        <f t="shared" si="10"/>
        <v>7.7134986225895319E-2</v>
      </c>
    </row>
    <row r="694" spans="1:7" x14ac:dyDescent="0.25">
      <c r="A694" s="4">
        <v>4</v>
      </c>
      <c r="B694" s="5">
        <v>10</v>
      </c>
      <c r="C694" s="6">
        <v>39360</v>
      </c>
      <c r="D694" s="7">
        <v>1984</v>
      </c>
      <c r="E694" s="8">
        <f>VLOOKUP(B694,T.productos!$A$1:$E$15,4,0)</f>
        <v>0.61</v>
      </c>
      <c r="F694" s="8">
        <f>VLOOKUP(B694,T.productos!$A$1:$E$15,5,0)</f>
        <v>0.4</v>
      </c>
      <c r="G694" s="9">
        <f t="shared" si="10"/>
        <v>0.34426229508196721</v>
      </c>
    </row>
    <row r="695" spans="1:7" x14ac:dyDescent="0.25">
      <c r="A695" s="4">
        <v>2</v>
      </c>
      <c r="B695" s="5">
        <v>13</v>
      </c>
      <c r="C695" s="6">
        <v>39128</v>
      </c>
      <c r="D695" s="7">
        <v>1334</v>
      </c>
      <c r="E695" s="8">
        <f>VLOOKUP(B695,T.productos!$A$1:$E$15,4,0)</f>
        <v>0.24</v>
      </c>
      <c r="F695" s="8">
        <f>VLOOKUP(B695,T.productos!$A$1:$E$15,5,0)</f>
        <v>0.12</v>
      </c>
      <c r="G695" s="9">
        <f t="shared" si="10"/>
        <v>0.5</v>
      </c>
    </row>
    <row r="696" spans="1:7" x14ac:dyDescent="0.25">
      <c r="A696" s="4">
        <v>3</v>
      </c>
      <c r="B696" s="5">
        <v>12</v>
      </c>
      <c r="C696" s="6">
        <v>38239</v>
      </c>
      <c r="D696" s="7">
        <v>2025</v>
      </c>
      <c r="E696" s="8">
        <f>VLOOKUP(B696,T.productos!$A$1:$E$15,4,0)</f>
        <v>2.42</v>
      </c>
      <c r="F696" s="8">
        <f>VLOOKUP(B696,T.productos!$A$1:$E$15,5,0)</f>
        <v>1.68</v>
      </c>
      <c r="G696" s="9">
        <f t="shared" si="10"/>
        <v>0.30578512396694213</v>
      </c>
    </row>
    <row r="697" spans="1:7" x14ac:dyDescent="0.25">
      <c r="A697" s="4">
        <v>3</v>
      </c>
      <c r="B697" s="5">
        <v>6</v>
      </c>
      <c r="C697" s="6">
        <v>38133</v>
      </c>
      <c r="D697" s="7">
        <v>1190</v>
      </c>
      <c r="E697" s="8">
        <f>VLOOKUP(B697,T.productos!$A$1:$E$15,4,0)</f>
        <v>2.42</v>
      </c>
      <c r="F697" s="8">
        <f>VLOOKUP(B697,T.productos!$A$1:$E$15,5,0)</f>
        <v>2.2799999999999998</v>
      </c>
      <c r="G697" s="9">
        <f t="shared" si="10"/>
        <v>5.7851239669421489E-2</v>
      </c>
    </row>
    <row r="698" spans="1:7" x14ac:dyDescent="0.25">
      <c r="A698" s="4">
        <v>2</v>
      </c>
      <c r="B698" s="5">
        <v>1</v>
      </c>
      <c r="C698" s="6">
        <v>38756</v>
      </c>
      <c r="D698" s="7">
        <v>341</v>
      </c>
      <c r="E698" s="8">
        <f>VLOOKUP(B698,T.productos!$A$1:$E$15,4,0)</f>
        <v>3.93</v>
      </c>
      <c r="F698" s="8">
        <f>VLOOKUP(B698,T.productos!$A$1:$E$15,5,0)</f>
        <v>3.4</v>
      </c>
      <c r="G698" s="9">
        <f t="shared" si="10"/>
        <v>0.13486005089058525</v>
      </c>
    </row>
    <row r="699" spans="1:7" x14ac:dyDescent="0.25">
      <c r="A699" s="4">
        <v>1</v>
      </c>
      <c r="B699" s="5">
        <v>2</v>
      </c>
      <c r="C699" s="6">
        <v>39681</v>
      </c>
      <c r="D699" s="7">
        <v>2251</v>
      </c>
      <c r="E699" s="8">
        <f>VLOOKUP(B699,T.productos!$A$1:$E$15,4,0)</f>
        <v>1.63</v>
      </c>
      <c r="F699" s="8">
        <f>VLOOKUP(B699,T.productos!$A$1:$E$15,5,0)</f>
        <v>1.42</v>
      </c>
      <c r="G699" s="9">
        <f t="shared" si="10"/>
        <v>0.12883435582822086</v>
      </c>
    </row>
    <row r="700" spans="1:7" x14ac:dyDescent="0.25">
      <c r="A700" s="4">
        <v>4</v>
      </c>
      <c r="B700" s="5">
        <v>10</v>
      </c>
      <c r="C700" s="6">
        <v>38984</v>
      </c>
      <c r="D700" s="7">
        <v>1201</v>
      </c>
      <c r="E700" s="8">
        <f>VLOOKUP(B700,T.productos!$A$1:$E$15,4,0)</f>
        <v>0.61</v>
      </c>
      <c r="F700" s="8">
        <f>VLOOKUP(B700,T.productos!$A$1:$E$15,5,0)</f>
        <v>0.4</v>
      </c>
      <c r="G700" s="9">
        <f t="shared" si="10"/>
        <v>0.34426229508196721</v>
      </c>
    </row>
    <row r="701" spans="1:7" x14ac:dyDescent="0.25">
      <c r="A701" s="4">
        <v>2</v>
      </c>
      <c r="B701" s="5">
        <v>4</v>
      </c>
      <c r="C701" s="6">
        <v>38849</v>
      </c>
      <c r="D701" s="7">
        <v>1556</v>
      </c>
      <c r="E701" s="8">
        <f>VLOOKUP(B701,T.productos!$A$1:$E$15,4,0)</f>
        <v>0.61</v>
      </c>
      <c r="F701" s="8">
        <f>VLOOKUP(B701,T.productos!$A$1:$E$15,5,0)</f>
        <v>0.28999999999999998</v>
      </c>
      <c r="G701" s="9">
        <f t="shared" si="10"/>
        <v>0.52459016393442626</v>
      </c>
    </row>
    <row r="702" spans="1:7" x14ac:dyDescent="0.25">
      <c r="A702" s="4">
        <v>5</v>
      </c>
      <c r="B702" s="5">
        <v>5</v>
      </c>
      <c r="C702" s="6">
        <v>39785</v>
      </c>
      <c r="D702" s="7">
        <v>1417</v>
      </c>
      <c r="E702" s="8">
        <f>VLOOKUP(B702,T.productos!$A$1:$E$15,4,0)</f>
        <v>2.54</v>
      </c>
      <c r="F702" s="8">
        <f>VLOOKUP(B702,T.productos!$A$1:$E$15,5,0)</f>
        <v>2.2799999999999998</v>
      </c>
      <c r="G702" s="9">
        <f t="shared" si="10"/>
        <v>0.10236220472440945</v>
      </c>
    </row>
    <row r="703" spans="1:7" x14ac:dyDescent="0.25">
      <c r="A703" s="4">
        <v>3</v>
      </c>
      <c r="B703" s="5">
        <v>10</v>
      </c>
      <c r="C703" s="6">
        <v>38265</v>
      </c>
      <c r="D703" s="7">
        <v>513</v>
      </c>
      <c r="E703" s="8">
        <f>VLOOKUP(B703,T.productos!$A$1:$E$15,4,0)</f>
        <v>0.61</v>
      </c>
      <c r="F703" s="8">
        <f>VLOOKUP(B703,T.productos!$A$1:$E$15,5,0)</f>
        <v>0.4</v>
      </c>
      <c r="G703" s="9">
        <f t="shared" si="10"/>
        <v>0.34426229508196721</v>
      </c>
    </row>
    <row r="704" spans="1:7" x14ac:dyDescent="0.25">
      <c r="A704" s="4">
        <v>5</v>
      </c>
      <c r="B704" s="5">
        <v>5</v>
      </c>
      <c r="C704" s="6">
        <v>38050</v>
      </c>
      <c r="D704" s="7">
        <v>817</v>
      </c>
      <c r="E704" s="8">
        <f>VLOOKUP(B704,T.productos!$A$1:$E$15,4,0)</f>
        <v>2.54</v>
      </c>
      <c r="F704" s="8">
        <f>VLOOKUP(B704,T.productos!$A$1:$E$15,5,0)</f>
        <v>2.2799999999999998</v>
      </c>
      <c r="G704" s="9">
        <f t="shared" si="10"/>
        <v>0.10236220472440945</v>
      </c>
    </row>
    <row r="705" spans="1:7" x14ac:dyDescent="0.25">
      <c r="A705" s="4">
        <v>2</v>
      </c>
      <c r="B705" s="5">
        <v>13</v>
      </c>
      <c r="C705" s="6">
        <v>38231</v>
      </c>
      <c r="D705" s="7">
        <v>1135</v>
      </c>
      <c r="E705" s="8">
        <f>VLOOKUP(B705,T.productos!$A$1:$E$15,4,0)</f>
        <v>0.24</v>
      </c>
      <c r="F705" s="8">
        <f>VLOOKUP(B705,T.productos!$A$1:$E$15,5,0)</f>
        <v>0.12</v>
      </c>
      <c r="G705" s="9">
        <f t="shared" si="10"/>
        <v>0.5</v>
      </c>
    </row>
    <row r="706" spans="1:7" x14ac:dyDescent="0.25">
      <c r="A706" s="4">
        <v>1</v>
      </c>
      <c r="B706" s="5">
        <v>8</v>
      </c>
      <c r="C706" s="6">
        <v>38479</v>
      </c>
      <c r="D706" s="7">
        <v>1692</v>
      </c>
      <c r="E706" s="8">
        <f>VLOOKUP(B706,T.productos!$A$1:$E$15,4,0)</f>
        <v>3.63</v>
      </c>
      <c r="F706" s="8">
        <f>VLOOKUP(B706,T.productos!$A$1:$E$15,5,0)</f>
        <v>3.35</v>
      </c>
      <c r="G706" s="9">
        <f t="shared" ref="G706:G769" si="11">margen(D706,E706,F706)</f>
        <v>7.7134986225895319E-2</v>
      </c>
    </row>
    <row r="707" spans="1:7" x14ac:dyDescent="0.25">
      <c r="A707" s="4">
        <v>3</v>
      </c>
      <c r="B707" s="5">
        <v>9</v>
      </c>
      <c r="C707" s="6">
        <v>39137</v>
      </c>
      <c r="D707" s="7">
        <v>1868</v>
      </c>
      <c r="E707" s="8">
        <f>VLOOKUP(B707,T.productos!$A$1:$E$15,4,0)</f>
        <v>1.21</v>
      </c>
      <c r="F707" s="8">
        <f>VLOOKUP(B707,T.productos!$A$1:$E$15,5,0)</f>
        <v>0.36</v>
      </c>
      <c r="G707" s="9">
        <f t="shared" si="11"/>
        <v>0.7024793388429752</v>
      </c>
    </row>
    <row r="708" spans="1:7" x14ac:dyDescent="0.25">
      <c r="A708" s="4">
        <v>1</v>
      </c>
      <c r="B708" s="5">
        <v>8</v>
      </c>
      <c r="C708" s="6">
        <v>39689</v>
      </c>
      <c r="D708" s="7">
        <v>1243</v>
      </c>
      <c r="E708" s="8">
        <f>VLOOKUP(B708,T.productos!$A$1:$E$15,4,0)</f>
        <v>3.63</v>
      </c>
      <c r="F708" s="8">
        <f>VLOOKUP(B708,T.productos!$A$1:$E$15,5,0)</f>
        <v>3.35</v>
      </c>
      <c r="G708" s="9">
        <f t="shared" si="11"/>
        <v>7.7134986225895319E-2</v>
      </c>
    </row>
    <row r="709" spans="1:7" x14ac:dyDescent="0.25">
      <c r="A709" s="4">
        <v>5</v>
      </c>
      <c r="B709" s="5">
        <v>4</v>
      </c>
      <c r="C709" s="6">
        <v>38040</v>
      </c>
      <c r="D709" s="7">
        <v>2649</v>
      </c>
      <c r="E709" s="8">
        <f>VLOOKUP(B709,T.productos!$A$1:$E$15,4,0)</f>
        <v>0.61</v>
      </c>
      <c r="F709" s="8">
        <f>VLOOKUP(B709,T.productos!$A$1:$E$15,5,0)</f>
        <v>0.28999999999999998</v>
      </c>
      <c r="G709" s="9">
        <f t="shared" si="11"/>
        <v>0.52459016393442626</v>
      </c>
    </row>
    <row r="710" spans="1:7" x14ac:dyDescent="0.25">
      <c r="A710" s="4">
        <v>2</v>
      </c>
      <c r="B710" s="5">
        <v>13</v>
      </c>
      <c r="C710" s="6">
        <v>38558</v>
      </c>
      <c r="D710" s="7">
        <v>2818</v>
      </c>
      <c r="E710" s="8">
        <f>VLOOKUP(B710,T.productos!$A$1:$E$15,4,0)</f>
        <v>0.24</v>
      </c>
      <c r="F710" s="8">
        <f>VLOOKUP(B710,T.productos!$A$1:$E$15,5,0)</f>
        <v>0.12</v>
      </c>
      <c r="G710" s="9">
        <f t="shared" si="11"/>
        <v>0.5</v>
      </c>
    </row>
    <row r="711" spans="1:7" x14ac:dyDescent="0.25">
      <c r="A711" s="4">
        <v>3</v>
      </c>
      <c r="B711" s="5">
        <v>2</v>
      </c>
      <c r="C711" s="6">
        <v>39410</v>
      </c>
      <c r="D711" s="7">
        <v>1829</v>
      </c>
      <c r="E711" s="8">
        <f>VLOOKUP(B711,T.productos!$A$1:$E$15,4,0)</f>
        <v>1.63</v>
      </c>
      <c r="F711" s="8">
        <f>VLOOKUP(B711,T.productos!$A$1:$E$15,5,0)</f>
        <v>1.42</v>
      </c>
      <c r="G711" s="9">
        <f t="shared" si="11"/>
        <v>0.12883435582822086</v>
      </c>
    </row>
    <row r="712" spans="1:7" x14ac:dyDescent="0.25">
      <c r="A712" s="4">
        <v>3</v>
      </c>
      <c r="B712" s="5">
        <v>4</v>
      </c>
      <c r="C712" s="6">
        <v>38439</v>
      </c>
      <c r="D712" s="7">
        <v>1966</v>
      </c>
      <c r="E712" s="8">
        <f>VLOOKUP(B712,T.productos!$A$1:$E$15,4,0)</f>
        <v>0.61</v>
      </c>
      <c r="F712" s="8">
        <f>VLOOKUP(B712,T.productos!$A$1:$E$15,5,0)</f>
        <v>0.28999999999999998</v>
      </c>
      <c r="G712" s="9">
        <f t="shared" si="11"/>
        <v>0.52459016393442626</v>
      </c>
    </row>
    <row r="713" spans="1:7" x14ac:dyDescent="0.25">
      <c r="A713" s="4">
        <v>4</v>
      </c>
      <c r="B713" s="5">
        <v>11</v>
      </c>
      <c r="C713" s="6">
        <v>39372</v>
      </c>
      <c r="D713" s="7">
        <v>2763</v>
      </c>
      <c r="E713" s="8">
        <f>VLOOKUP(B713,T.productos!$A$1:$E$15,4,0)</f>
        <v>1.21</v>
      </c>
      <c r="F713" s="8">
        <f>VLOOKUP(B713,T.productos!$A$1:$E$15,5,0)</f>
        <v>0.72</v>
      </c>
      <c r="G713" s="9">
        <f t="shared" si="11"/>
        <v>0.4049586776859504</v>
      </c>
    </row>
    <row r="714" spans="1:7" x14ac:dyDescent="0.25">
      <c r="A714" s="4">
        <v>1</v>
      </c>
      <c r="B714" s="5">
        <v>12</v>
      </c>
      <c r="C714" s="6">
        <v>39224</v>
      </c>
      <c r="D714" s="7">
        <v>572</v>
      </c>
      <c r="E714" s="8">
        <f>VLOOKUP(B714,T.productos!$A$1:$E$15,4,0)</f>
        <v>2.42</v>
      </c>
      <c r="F714" s="8">
        <f>VLOOKUP(B714,T.productos!$A$1:$E$15,5,0)</f>
        <v>1.68</v>
      </c>
      <c r="G714" s="9">
        <f t="shared" si="11"/>
        <v>0.30578512396694213</v>
      </c>
    </row>
    <row r="715" spans="1:7" x14ac:dyDescent="0.25">
      <c r="A715" s="4">
        <v>3</v>
      </c>
      <c r="B715" s="5">
        <v>6</v>
      </c>
      <c r="C715" s="6">
        <v>39394</v>
      </c>
      <c r="D715" s="7">
        <v>2624</v>
      </c>
      <c r="E715" s="8">
        <f>VLOOKUP(B715,T.productos!$A$1:$E$15,4,0)</f>
        <v>2.42</v>
      </c>
      <c r="F715" s="8">
        <f>VLOOKUP(B715,T.productos!$A$1:$E$15,5,0)</f>
        <v>2.2799999999999998</v>
      </c>
      <c r="G715" s="9">
        <f t="shared" si="11"/>
        <v>5.7851239669421489E-2</v>
      </c>
    </row>
    <row r="716" spans="1:7" x14ac:dyDescent="0.25">
      <c r="A716" s="4">
        <v>4</v>
      </c>
      <c r="B716" s="5">
        <v>12</v>
      </c>
      <c r="C716" s="6">
        <v>38837</v>
      </c>
      <c r="D716" s="7">
        <v>1818</v>
      </c>
      <c r="E716" s="8">
        <f>VLOOKUP(B716,T.productos!$A$1:$E$15,4,0)</f>
        <v>2.42</v>
      </c>
      <c r="F716" s="8">
        <f>VLOOKUP(B716,T.productos!$A$1:$E$15,5,0)</f>
        <v>1.68</v>
      </c>
      <c r="G716" s="9">
        <f t="shared" si="11"/>
        <v>0.30578512396694213</v>
      </c>
    </row>
    <row r="717" spans="1:7" x14ac:dyDescent="0.25">
      <c r="A717" s="4">
        <v>4</v>
      </c>
      <c r="B717" s="5">
        <v>11</v>
      </c>
      <c r="C717" s="6">
        <v>38449</v>
      </c>
      <c r="D717" s="7">
        <v>2807</v>
      </c>
      <c r="E717" s="8">
        <f>VLOOKUP(B717,T.productos!$A$1:$E$15,4,0)</f>
        <v>1.21</v>
      </c>
      <c r="F717" s="8">
        <f>VLOOKUP(B717,T.productos!$A$1:$E$15,5,0)</f>
        <v>0.72</v>
      </c>
      <c r="G717" s="9">
        <f t="shared" si="11"/>
        <v>0.4049586776859504</v>
      </c>
    </row>
    <row r="718" spans="1:7" x14ac:dyDescent="0.25">
      <c r="A718" s="4">
        <v>2</v>
      </c>
      <c r="B718" s="5">
        <v>4</v>
      </c>
      <c r="C718" s="6">
        <v>38449</v>
      </c>
      <c r="D718" s="7">
        <v>1462</v>
      </c>
      <c r="E718" s="8">
        <f>VLOOKUP(B718,T.productos!$A$1:$E$15,4,0)</f>
        <v>0.61</v>
      </c>
      <c r="F718" s="8">
        <f>VLOOKUP(B718,T.productos!$A$1:$E$15,5,0)</f>
        <v>0.28999999999999998</v>
      </c>
      <c r="G718" s="9">
        <f t="shared" si="11"/>
        <v>0.52459016393442626</v>
      </c>
    </row>
    <row r="719" spans="1:7" x14ac:dyDescent="0.25">
      <c r="A719" s="4">
        <v>2</v>
      </c>
      <c r="B719" s="5">
        <v>4</v>
      </c>
      <c r="C719" s="6">
        <v>38655</v>
      </c>
      <c r="D719" s="7">
        <v>2119</v>
      </c>
      <c r="E719" s="8">
        <f>VLOOKUP(B719,T.productos!$A$1:$E$15,4,0)</f>
        <v>0.61</v>
      </c>
      <c r="F719" s="8">
        <f>VLOOKUP(B719,T.productos!$A$1:$E$15,5,0)</f>
        <v>0.28999999999999998</v>
      </c>
      <c r="G719" s="9">
        <f t="shared" si="11"/>
        <v>0.52459016393442626</v>
      </c>
    </row>
    <row r="720" spans="1:7" x14ac:dyDescent="0.25">
      <c r="A720" s="4">
        <v>4</v>
      </c>
      <c r="B720" s="5">
        <v>7</v>
      </c>
      <c r="C720" s="6">
        <v>38048</v>
      </c>
      <c r="D720" s="7">
        <v>929</v>
      </c>
      <c r="E720" s="8">
        <f>VLOOKUP(B720,T.productos!$A$1:$E$15,4,0)</f>
        <v>0.97</v>
      </c>
      <c r="F720" s="8">
        <f>VLOOKUP(B720,T.productos!$A$1:$E$15,5,0)</f>
        <v>0.19</v>
      </c>
      <c r="G720" s="9">
        <f t="shared" si="11"/>
        <v>0.80412371134020622</v>
      </c>
    </row>
    <row r="721" spans="1:7" x14ac:dyDescent="0.25">
      <c r="A721" s="4">
        <v>5</v>
      </c>
      <c r="B721" s="5">
        <v>5</v>
      </c>
      <c r="C721" s="6">
        <v>38048</v>
      </c>
      <c r="D721" s="7">
        <v>1047</v>
      </c>
      <c r="E721" s="8">
        <f>VLOOKUP(B721,T.productos!$A$1:$E$15,4,0)</f>
        <v>2.54</v>
      </c>
      <c r="F721" s="8">
        <f>VLOOKUP(B721,T.productos!$A$1:$E$15,5,0)</f>
        <v>2.2799999999999998</v>
      </c>
      <c r="G721" s="9">
        <f t="shared" si="11"/>
        <v>0.10236220472440945</v>
      </c>
    </row>
    <row r="722" spans="1:7" x14ac:dyDescent="0.25">
      <c r="A722" s="4">
        <v>4</v>
      </c>
      <c r="B722" s="5">
        <v>13</v>
      </c>
      <c r="C722" s="6">
        <v>38960</v>
      </c>
      <c r="D722" s="7">
        <v>1912</v>
      </c>
      <c r="E722" s="8">
        <f>VLOOKUP(B722,T.productos!$A$1:$E$15,4,0)</f>
        <v>0.24</v>
      </c>
      <c r="F722" s="8">
        <f>VLOOKUP(B722,T.productos!$A$1:$E$15,5,0)</f>
        <v>0.12</v>
      </c>
      <c r="G722" s="9">
        <f t="shared" si="11"/>
        <v>0.5</v>
      </c>
    </row>
    <row r="723" spans="1:7" x14ac:dyDescent="0.25">
      <c r="A723" s="4">
        <v>2</v>
      </c>
      <c r="B723" s="5">
        <v>1</v>
      </c>
      <c r="C723" s="6">
        <v>38519</v>
      </c>
      <c r="D723" s="7">
        <v>1007</v>
      </c>
      <c r="E723" s="8">
        <f>VLOOKUP(B723,T.productos!$A$1:$E$15,4,0)</f>
        <v>3.93</v>
      </c>
      <c r="F723" s="8">
        <f>VLOOKUP(B723,T.productos!$A$1:$E$15,5,0)</f>
        <v>3.4</v>
      </c>
      <c r="G723" s="9">
        <f t="shared" si="11"/>
        <v>0.13486005089058525</v>
      </c>
    </row>
    <row r="724" spans="1:7" x14ac:dyDescent="0.25">
      <c r="A724" s="4">
        <v>1</v>
      </c>
      <c r="B724" s="5">
        <v>13</v>
      </c>
      <c r="C724" s="6">
        <v>38714</v>
      </c>
      <c r="D724" s="7">
        <v>1056</v>
      </c>
      <c r="E724" s="8">
        <f>VLOOKUP(B724,T.productos!$A$1:$E$15,4,0)</f>
        <v>0.24</v>
      </c>
      <c r="F724" s="8">
        <f>VLOOKUP(B724,T.productos!$A$1:$E$15,5,0)</f>
        <v>0.12</v>
      </c>
      <c r="G724" s="9">
        <f t="shared" si="11"/>
        <v>0.5</v>
      </c>
    </row>
    <row r="725" spans="1:7" x14ac:dyDescent="0.25">
      <c r="A725" s="4">
        <v>2</v>
      </c>
      <c r="B725" s="5">
        <v>10</v>
      </c>
      <c r="C725" s="6">
        <v>39248</v>
      </c>
      <c r="D725" s="7">
        <v>729</v>
      </c>
      <c r="E725" s="8">
        <f>VLOOKUP(B725,T.productos!$A$1:$E$15,4,0)</f>
        <v>0.61</v>
      </c>
      <c r="F725" s="8">
        <f>VLOOKUP(B725,T.productos!$A$1:$E$15,5,0)</f>
        <v>0.4</v>
      </c>
      <c r="G725" s="9">
        <f t="shared" si="11"/>
        <v>0.34426229508196721</v>
      </c>
    </row>
    <row r="726" spans="1:7" x14ac:dyDescent="0.25">
      <c r="A726" s="4">
        <v>1</v>
      </c>
      <c r="B726" s="5">
        <v>6</v>
      </c>
      <c r="C726" s="6">
        <v>39260</v>
      </c>
      <c r="D726" s="7">
        <v>2071</v>
      </c>
      <c r="E726" s="8">
        <f>VLOOKUP(B726,T.productos!$A$1:$E$15,4,0)</f>
        <v>2.42</v>
      </c>
      <c r="F726" s="8">
        <f>VLOOKUP(B726,T.productos!$A$1:$E$15,5,0)</f>
        <v>2.2799999999999998</v>
      </c>
      <c r="G726" s="9">
        <f t="shared" si="11"/>
        <v>5.7851239669421489E-2</v>
      </c>
    </row>
    <row r="727" spans="1:7" x14ac:dyDescent="0.25">
      <c r="A727" s="4">
        <v>3</v>
      </c>
      <c r="B727" s="5">
        <v>9</v>
      </c>
      <c r="C727" s="6">
        <v>39237</v>
      </c>
      <c r="D727" s="7">
        <v>334</v>
      </c>
      <c r="E727" s="8">
        <f>VLOOKUP(B727,T.productos!$A$1:$E$15,4,0)</f>
        <v>1.21</v>
      </c>
      <c r="F727" s="8">
        <f>VLOOKUP(B727,T.productos!$A$1:$E$15,5,0)</f>
        <v>0.36</v>
      </c>
      <c r="G727" s="9">
        <f t="shared" si="11"/>
        <v>0.7024793388429752</v>
      </c>
    </row>
    <row r="728" spans="1:7" x14ac:dyDescent="0.25">
      <c r="A728" s="4">
        <v>2</v>
      </c>
      <c r="B728" s="5">
        <v>3</v>
      </c>
      <c r="C728" s="6">
        <v>39635</v>
      </c>
      <c r="D728" s="7">
        <v>2889</v>
      </c>
      <c r="E728" s="8">
        <f>VLOOKUP(B728,T.productos!$A$1:$E$15,4,0)</f>
        <v>1.94</v>
      </c>
      <c r="F728" s="8">
        <f>VLOOKUP(B728,T.productos!$A$1:$E$15,5,0)</f>
        <v>1.89</v>
      </c>
      <c r="G728" s="9">
        <f t="shared" si="11"/>
        <v>2.5773195876288658E-2</v>
      </c>
    </row>
    <row r="729" spans="1:7" x14ac:dyDescent="0.25">
      <c r="A729" s="4">
        <v>4</v>
      </c>
      <c r="B729" s="5">
        <v>9</v>
      </c>
      <c r="C729" s="6">
        <v>39833</v>
      </c>
      <c r="D729" s="7">
        <v>660</v>
      </c>
      <c r="E729" s="8">
        <f>VLOOKUP(B729,T.productos!$A$1:$E$15,4,0)</f>
        <v>1.21</v>
      </c>
      <c r="F729" s="8">
        <f>VLOOKUP(B729,T.productos!$A$1:$E$15,5,0)</f>
        <v>0.36</v>
      </c>
      <c r="G729" s="9">
        <f t="shared" si="11"/>
        <v>0.7024793388429752</v>
      </c>
    </row>
    <row r="730" spans="1:7" x14ac:dyDescent="0.25">
      <c r="A730" s="4">
        <v>5</v>
      </c>
      <c r="B730" s="5">
        <v>10</v>
      </c>
      <c r="C730" s="6">
        <v>38170</v>
      </c>
      <c r="D730" s="7">
        <v>1131</v>
      </c>
      <c r="E730" s="8">
        <f>VLOOKUP(B730,T.productos!$A$1:$E$15,4,0)</f>
        <v>0.61</v>
      </c>
      <c r="F730" s="8">
        <f>VLOOKUP(B730,T.productos!$A$1:$E$15,5,0)</f>
        <v>0.4</v>
      </c>
      <c r="G730" s="9">
        <f t="shared" si="11"/>
        <v>0.34426229508196721</v>
      </c>
    </row>
    <row r="731" spans="1:7" x14ac:dyDescent="0.25">
      <c r="A731" s="4">
        <v>5</v>
      </c>
      <c r="B731" s="5">
        <v>1</v>
      </c>
      <c r="C731" s="6">
        <v>38646</v>
      </c>
      <c r="D731" s="7">
        <v>2491</v>
      </c>
      <c r="E731" s="8">
        <f>VLOOKUP(B731,T.productos!$A$1:$E$15,4,0)</f>
        <v>3.93</v>
      </c>
      <c r="F731" s="8">
        <f>VLOOKUP(B731,T.productos!$A$1:$E$15,5,0)</f>
        <v>3.4</v>
      </c>
      <c r="G731" s="9">
        <f t="shared" si="11"/>
        <v>0.13486005089058525</v>
      </c>
    </row>
    <row r="732" spans="1:7" x14ac:dyDescent="0.25">
      <c r="A732" s="4">
        <v>2</v>
      </c>
      <c r="B732" s="5">
        <v>11</v>
      </c>
      <c r="C732" s="6">
        <v>39660</v>
      </c>
      <c r="D732" s="7">
        <v>2151</v>
      </c>
      <c r="E732" s="8">
        <f>VLOOKUP(B732,T.productos!$A$1:$E$15,4,0)</f>
        <v>1.21</v>
      </c>
      <c r="F732" s="8">
        <f>VLOOKUP(B732,T.productos!$A$1:$E$15,5,0)</f>
        <v>0.72</v>
      </c>
      <c r="G732" s="9">
        <f t="shared" si="11"/>
        <v>0.4049586776859504</v>
      </c>
    </row>
    <row r="733" spans="1:7" x14ac:dyDescent="0.25">
      <c r="A733" s="4">
        <v>5</v>
      </c>
      <c r="B733" s="5">
        <v>10</v>
      </c>
      <c r="C733" s="6">
        <v>39180</v>
      </c>
      <c r="D733" s="7">
        <v>1218</v>
      </c>
      <c r="E733" s="8">
        <f>VLOOKUP(B733,T.productos!$A$1:$E$15,4,0)</f>
        <v>0.61</v>
      </c>
      <c r="F733" s="8">
        <f>VLOOKUP(B733,T.productos!$A$1:$E$15,5,0)</f>
        <v>0.4</v>
      </c>
      <c r="G733" s="9">
        <f t="shared" si="11"/>
        <v>0.34426229508196721</v>
      </c>
    </row>
    <row r="734" spans="1:7" x14ac:dyDescent="0.25">
      <c r="A734" s="4">
        <v>5</v>
      </c>
      <c r="B734" s="5">
        <v>8</v>
      </c>
      <c r="C734" s="6">
        <v>39384</v>
      </c>
      <c r="D734" s="7">
        <v>419</v>
      </c>
      <c r="E734" s="8">
        <f>VLOOKUP(B734,T.productos!$A$1:$E$15,4,0)</f>
        <v>3.63</v>
      </c>
      <c r="F734" s="8">
        <f>VLOOKUP(B734,T.productos!$A$1:$E$15,5,0)</f>
        <v>3.35</v>
      </c>
      <c r="G734" s="9">
        <f t="shared" si="11"/>
        <v>7.7134986225895319E-2</v>
      </c>
    </row>
    <row r="735" spans="1:7" x14ac:dyDescent="0.25">
      <c r="A735" s="4">
        <v>1</v>
      </c>
      <c r="B735" s="5">
        <v>5</v>
      </c>
      <c r="C735" s="6">
        <v>39489</v>
      </c>
      <c r="D735" s="7">
        <v>1868</v>
      </c>
      <c r="E735" s="8">
        <f>VLOOKUP(B735,T.productos!$A$1:$E$15,4,0)</f>
        <v>2.54</v>
      </c>
      <c r="F735" s="8">
        <f>VLOOKUP(B735,T.productos!$A$1:$E$15,5,0)</f>
        <v>2.2799999999999998</v>
      </c>
      <c r="G735" s="9">
        <f t="shared" si="11"/>
        <v>0.10236220472440945</v>
      </c>
    </row>
    <row r="736" spans="1:7" x14ac:dyDescent="0.25">
      <c r="A736" s="4">
        <v>3</v>
      </c>
      <c r="B736" s="5">
        <v>13</v>
      </c>
      <c r="C736" s="6">
        <v>38812</v>
      </c>
      <c r="D736" s="7">
        <v>559</v>
      </c>
      <c r="E736" s="8">
        <f>VLOOKUP(B736,T.productos!$A$1:$E$15,4,0)</f>
        <v>0.24</v>
      </c>
      <c r="F736" s="8">
        <f>VLOOKUP(B736,T.productos!$A$1:$E$15,5,0)</f>
        <v>0.12</v>
      </c>
      <c r="G736" s="9">
        <f t="shared" si="11"/>
        <v>0.5</v>
      </c>
    </row>
    <row r="737" spans="1:7" x14ac:dyDescent="0.25">
      <c r="A737" s="4">
        <v>2</v>
      </c>
      <c r="B737" s="5">
        <v>1</v>
      </c>
      <c r="C737" s="6">
        <v>38920</v>
      </c>
      <c r="D737" s="7">
        <v>2735</v>
      </c>
      <c r="E737" s="8">
        <f>VLOOKUP(B737,T.productos!$A$1:$E$15,4,0)</f>
        <v>3.93</v>
      </c>
      <c r="F737" s="8">
        <f>VLOOKUP(B737,T.productos!$A$1:$E$15,5,0)</f>
        <v>3.4</v>
      </c>
      <c r="G737" s="9">
        <f t="shared" si="11"/>
        <v>0.13486005089058525</v>
      </c>
    </row>
    <row r="738" spans="1:7" x14ac:dyDescent="0.25">
      <c r="A738" s="4">
        <v>4</v>
      </c>
      <c r="B738" s="5">
        <v>6</v>
      </c>
      <c r="C738" s="6">
        <v>38347</v>
      </c>
      <c r="D738" s="7">
        <v>1846</v>
      </c>
      <c r="E738" s="8">
        <f>VLOOKUP(B738,T.productos!$A$1:$E$15,4,0)</f>
        <v>2.42</v>
      </c>
      <c r="F738" s="8">
        <f>VLOOKUP(B738,T.productos!$A$1:$E$15,5,0)</f>
        <v>2.2799999999999998</v>
      </c>
      <c r="G738" s="9">
        <f t="shared" si="11"/>
        <v>5.7851239669421489E-2</v>
      </c>
    </row>
    <row r="739" spans="1:7" x14ac:dyDescent="0.25">
      <c r="A739" s="4">
        <v>4</v>
      </c>
      <c r="B739" s="5">
        <v>13</v>
      </c>
      <c r="C739" s="6">
        <v>38838</v>
      </c>
      <c r="D739" s="7">
        <v>1297</v>
      </c>
      <c r="E739" s="8">
        <f>VLOOKUP(B739,T.productos!$A$1:$E$15,4,0)</f>
        <v>0.24</v>
      </c>
      <c r="F739" s="8">
        <f>VLOOKUP(B739,T.productos!$A$1:$E$15,5,0)</f>
        <v>0.12</v>
      </c>
      <c r="G739" s="9">
        <f t="shared" si="11"/>
        <v>0.5</v>
      </c>
    </row>
    <row r="740" spans="1:7" x14ac:dyDescent="0.25">
      <c r="A740" s="4">
        <v>4</v>
      </c>
      <c r="B740" s="5">
        <v>4</v>
      </c>
      <c r="C740" s="6">
        <v>39250</v>
      </c>
      <c r="D740" s="7">
        <v>998</v>
      </c>
      <c r="E740" s="8">
        <f>VLOOKUP(B740,T.productos!$A$1:$E$15,4,0)</f>
        <v>0.61</v>
      </c>
      <c r="F740" s="8">
        <f>VLOOKUP(B740,T.productos!$A$1:$E$15,5,0)</f>
        <v>0.28999999999999998</v>
      </c>
      <c r="G740" s="9">
        <f t="shared" si="11"/>
        <v>0.52459016393442626</v>
      </c>
    </row>
    <row r="741" spans="1:7" x14ac:dyDescent="0.25">
      <c r="A741" s="4">
        <v>5</v>
      </c>
      <c r="B741" s="5">
        <v>12</v>
      </c>
      <c r="C741" s="6">
        <v>38115</v>
      </c>
      <c r="D741" s="7">
        <v>363</v>
      </c>
      <c r="E741" s="8">
        <f>VLOOKUP(B741,T.productos!$A$1:$E$15,4,0)</f>
        <v>2.42</v>
      </c>
      <c r="F741" s="8">
        <f>VLOOKUP(B741,T.productos!$A$1:$E$15,5,0)</f>
        <v>1.68</v>
      </c>
      <c r="G741" s="9">
        <f t="shared" si="11"/>
        <v>0.30578512396694213</v>
      </c>
    </row>
    <row r="742" spans="1:7" x14ac:dyDescent="0.25">
      <c r="A742" s="4">
        <v>2</v>
      </c>
      <c r="B742" s="5">
        <v>1</v>
      </c>
      <c r="C742" s="6">
        <v>38019</v>
      </c>
      <c r="D742" s="7">
        <v>2115</v>
      </c>
      <c r="E742" s="8">
        <f>VLOOKUP(B742,T.productos!$A$1:$E$15,4,0)</f>
        <v>3.93</v>
      </c>
      <c r="F742" s="8">
        <f>VLOOKUP(B742,T.productos!$A$1:$E$15,5,0)</f>
        <v>3.4</v>
      </c>
      <c r="G742" s="9">
        <f t="shared" si="11"/>
        <v>0.13486005089058525</v>
      </c>
    </row>
    <row r="743" spans="1:7" x14ac:dyDescent="0.25">
      <c r="A743" s="4">
        <v>3</v>
      </c>
      <c r="B743" s="5">
        <v>9</v>
      </c>
      <c r="C743" s="6">
        <v>39097</v>
      </c>
      <c r="D743" s="7">
        <v>2191</v>
      </c>
      <c r="E743" s="8">
        <f>VLOOKUP(B743,T.productos!$A$1:$E$15,4,0)</f>
        <v>1.21</v>
      </c>
      <c r="F743" s="8">
        <f>VLOOKUP(B743,T.productos!$A$1:$E$15,5,0)</f>
        <v>0.36</v>
      </c>
      <c r="G743" s="9">
        <f t="shared" si="11"/>
        <v>0.7024793388429752</v>
      </c>
    </row>
    <row r="744" spans="1:7" x14ac:dyDescent="0.25">
      <c r="A744" s="4">
        <v>1</v>
      </c>
      <c r="B744" s="5">
        <v>13</v>
      </c>
      <c r="C744" s="6">
        <v>39122</v>
      </c>
      <c r="D744" s="7">
        <v>1780</v>
      </c>
      <c r="E744" s="8">
        <f>VLOOKUP(B744,T.productos!$A$1:$E$15,4,0)</f>
        <v>0.24</v>
      </c>
      <c r="F744" s="8">
        <f>VLOOKUP(B744,T.productos!$A$1:$E$15,5,0)</f>
        <v>0.12</v>
      </c>
      <c r="G744" s="9">
        <f t="shared" si="11"/>
        <v>0.5</v>
      </c>
    </row>
    <row r="745" spans="1:7" x14ac:dyDescent="0.25">
      <c r="A745" s="4">
        <v>2</v>
      </c>
      <c r="B745" s="5">
        <v>8</v>
      </c>
      <c r="C745" s="6">
        <v>39414</v>
      </c>
      <c r="D745" s="7">
        <v>1445</v>
      </c>
      <c r="E745" s="8">
        <f>VLOOKUP(B745,T.productos!$A$1:$E$15,4,0)</f>
        <v>3.63</v>
      </c>
      <c r="F745" s="8">
        <f>VLOOKUP(B745,T.productos!$A$1:$E$15,5,0)</f>
        <v>3.35</v>
      </c>
      <c r="G745" s="9">
        <f t="shared" si="11"/>
        <v>7.7134986225895319E-2</v>
      </c>
    </row>
    <row r="746" spans="1:7" x14ac:dyDescent="0.25">
      <c r="A746" s="4">
        <v>5</v>
      </c>
      <c r="B746" s="5">
        <v>10</v>
      </c>
      <c r="C746" s="6">
        <v>39235</v>
      </c>
      <c r="D746" s="7">
        <v>1327</v>
      </c>
      <c r="E746" s="8">
        <f>VLOOKUP(B746,T.productos!$A$1:$E$15,4,0)</f>
        <v>0.61</v>
      </c>
      <c r="F746" s="8">
        <f>VLOOKUP(B746,T.productos!$A$1:$E$15,5,0)</f>
        <v>0.4</v>
      </c>
      <c r="G746" s="9">
        <f t="shared" si="11"/>
        <v>0.34426229508196721</v>
      </c>
    </row>
    <row r="747" spans="1:7" x14ac:dyDescent="0.25">
      <c r="A747" s="4">
        <v>5</v>
      </c>
      <c r="B747" s="5">
        <v>3</v>
      </c>
      <c r="C747" s="6">
        <v>38416</v>
      </c>
      <c r="D747" s="7">
        <v>2040</v>
      </c>
      <c r="E747" s="8">
        <f>VLOOKUP(B747,T.productos!$A$1:$E$15,4,0)</f>
        <v>1.94</v>
      </c>
      <c r="F747" s="8">
        <f>VLOOKUP(B747,T.productos!$A$1:$E$15,5,0)</f>
        <v>1.89</v>
      </c>
      <c r="G747" s="9">
        <f t="shared" si="11"/>
        <v>2.5773195876288658E-2</v>
      </c>
    </row>
    <row r="748" spans="1:7" x14ac:dyDescent="0.25">
      <c r="A748" s="4">
        <v>3</v>
      </c>
      <c r="B748" s="5">
        <v>13</v>
      </c>
      <c r="C748" s="6">
        <v>39500</v>
      </c>
      <c r="D748" s="7">
        <v>320</v>
      </c>
      <c r="E748" s="8">
        <f>VLOOKUP(B748,T.productos!$A$1:$E$15,4,0)</f>
        <v>0.24</v>
      </c>
      <c r="F748" s="8">
        <f>VLOOKUP(B748,T.productos!$A$1:$E$15,5,0)</f>
        <v>0.12</v>
      </c>
      <c r="G748" s="9">
        <f t="shared" si="11"/>
        <v>0.5</v>
      </c>
    </row>
    <row r="749" spans="1:7" x14ac:dyDescent="0.25">
      <c r="A749" s="4">
        <v>3</v>
      </c>
      <c r="B749" s="5">
        <v>14</v>
      </c>
      <c r="C749" s="6">
        <v>39019</v>
      </c>
      <c r="D749" s="7">
        <v>1337</v>
      </c>
      <c r="E749" s="8">
        <f>VLOOKUP(B749,T.productos!$A$1:$E$15,4,0)</f>
        <v>3.63</v>
      </c>
      <c r="F749" s="8">
        <f>VLOOKUP(B749,T.productos!$A$1:$E$15,5,0)</f>
        <v>3.2</v>
      </c>
      <c r="G749" s="9">
        <f t="shared" si="11"/>
        <v>0.1184573002754821</v>
      </c>
    </row>
    <row r="750" spans="1:7" x14ac:dyDescent="0.25">
      <c r="A750" s="4">
        <v>2</v>
      </c>
      <c r="B750" s="5">
        <v>13</v>
      </c>
      <c r="C750" s="6">
        <v>39251</v>
      </c>
      <c r="D750" s="7">
        <v>2655</v>
      </c>
      <c r="E750" s="8">
        <f>VLOOKUP(B750,T.productos!$A$1:$E$15,4,0)</f>
        <v>0.24</v>
      </c>
      <c r="F750" s="8">
        <f>VLOOKUP(B750,T.productos!$A$1:$E$15,5,0)</f>
        <v>0.12</v>
      </c>
      <c r="G750" s="9">
        <f t="shared" si="11"/>
        <v>0.5</v>
      </c>
    </row>
    <row r="751" spans="1:7" x14ac:dyDescent="0.25">
      <c r="A751" s="4">
        <v>5</v>
      </c>
      <c r="B751" s="5">
        <v>12</v>
      </c>
      <c r="C751" s="6">
        <v>39025</v>
      </c>
      <c r="D751" s="7">
        <v>1357</v>
      </c>
      <c r="E751" s="8">
        <f>VLOOKUP(B751,T.productos!$A$1:$E$15,4,0)</f>
        <v>2.42</v>
      </c>
      <c r="F751" s="8">
        <f>VLOOKUP(B751,T.productos!$A$1:$E$15,5,0)</f>
        <v>1.68</v>
      </c>
      <c r="G751" s="9">
        <f t="shared" si="11"/>
        <v>0.30578512396694213</v>
      </c>
    </row>
    <row r="752" spans="1:7" x14ac:dyDescent="0.25">
      <c r="A752" s="4">
        <v>5</v>
      </c>
      <c r="B752" s="5">
        <v>6</v>
      </c>
      <c r="C752" s="6">
        <v>39810</v>
      </c>
      <c r="D752" s="7">
        <v>910</v>
      </c>
      <c r="E752" s="8">
        <f>VLOOKUP(B752,T.productos!$A$1:$E$15,4,0)</f>
        <v>2.42</v>
      </c>
      <c r="F752" s="8">
        <f>VLOOKUP(B752,T.productos!$A$1:$E$15,5,0)</f>
        <v>2.2799999999999998</v>
      </c>
      <c r="G752" s="9">
        <f t="shared" si="11"/>
        <v>5.7851239669421489E-2</v>
      </c>
    </row>
    <row r="753" spans="1:7" x14ac:dyDescent="0.25">
      <c r="A753" s="4">
        <v>2</v>
      </c>
      <c r="B753" s="5">
        <v>13</v>
      </c>
      <c r="C753" s="6">
        <v>38290</v>
      </c>
      <c r="D753" s="7">
        <v>1344</v>
      </c>
      <c r="E753" s="8">
        <f>VLOOKUP(B753,T.productos!$A$1:$E$15,4,0)</f>
        <v>0.24</v>
      </c>
      <c r="F753" s="8">
        <f>VLOOKUP(B753,T.productos!$A$1:$E$15,5,0)</f>
        <v>0.12</v>
      </c>
      <c r="G753" s="9">
        <f t="shared" si="11"/>
        <v>0.5</v>
      </c>
    </row>
    <row r="754" spans="1:7" x14ac:dyDescent="0.25">
      <c r="A754" s="4">
        <v>2</v>
      </c>
      <c r="B754" s="5">
        <v>9</v>
      </c>
      <c r="C754" s="6">
        <v>38754</v>
      </c>
      <c r="D754" s="7">
        <v>581</v>
      </c>
      <c r="E754" s="8">
        <f>VLOOKUP(B754,T.productos!$A$1:$E$15,4,0)</f>
        <v>1.21</v>
      </c>
      <c r="F754" s="8">
        <f>VLOOKUP(B754,T.productos!$A$1:$E$15,5,0)</f>
        <v>0.36</v>
      </c>
      <c r="G754" s="9">
        <f t="shared" si="11"/>
        <v>0.7024793388429752</v>
      </c>
    </row>
    <row r="755" spans="1:7" x14ac:dyDescent="0.25">
      <c r="A755" s="4">
        <v>2</v>
      </c>
      <c r="B755" s="5">
        <v>4</v>
      </c>
      <c r="C755" s="6">
        <v>38092</v>
      </c>
      <c r="D755" s="7">
        <v>1494</v>
      </c>
      <c r="E755" s="8">
        <f>VLOOKUP(B755,T.productos!$A$1:$E$15,4,0)</f>
        <v>0.61</v>
      </c>
      <c r="F755" s="8">
        <f>VLOOKUP(B755,T.productos!$A$1:$E$15,5,0)</f>
        <v>0.28999999999999998</v>
      </c>
      <c r="G755" s="9">
        <f t="shared" si="11"/>
        <v>0.52459016393442626</v>
      </c>
    </row>
    <row r="756" spans="1:7" x14ac:dyDescent="0.25">
      <c r="A756" s="4">
        <v>4</v>
      </c>
      <c r="B756" s="5">
        <v>7</v>
      </c>
      <c r="C756" s="6">
        <v>38487</v>
      </c>
      <c r="D756" s="7">
        <v>2600</v>
      </c>
      <c r="E756" s="8">
        <f>VLOOKUP(B756,T.productos!$A$1:$E$15,4,0)</f>
        <v>0.97</v>
      </c>
      <c r="F756" s="8">
        <f>VLOOKUP(B756,T.productos!$A$1:$E$15,5,0)</f>
        <v>0.19</v>
      </c>
      <c r="G756" s="9">
        <f t="shared" si="11"/>
        <v>0.80412371134020622</v>
      </c>
    </row>
    <row r="757" spans="1:7" x14ac:dyDescent="0.25">
      <c r="A757" s="4">
        <v>1</v>
      </c>
      <c r="B757" s="5">
        <v>6</v>
      </c>
      <c r="C757" s="6">
        <v>38795</v>
      </c>
      <c r="D757" s="7">
        <v>1461</v>
      </c>
      <c r="E757" s="8">
        <f>VLOOKUP(B757,T.productos!$A$1:$E$15,4,0)</f>
        <v>2.42</v>
      </c>
      <c r="F757" s="8">
        <f>VLOOKUP(B757,T.productos!$A$1:$E$15,5,0)</f>
        <v>2.2799999999999998</v>
      </c>
      <c r="G757" s="9">
        <f t="shared" si="11"/>
        <v>5.7851239669421489E-2</v>
      </c>
    </row>
    <row r="758" spans="1:7" x14ac:dyDescent="0.25">
      <c r="A758" s="4">
        <v>1</v>
      </c>
      <c r="B758" s="5">
        <v>10</v>
      </c>
      <c r="C758" s="6">
        <v>39536</v>
      </c>
      <c r="D758" s="7">
        <v>1303</v>
      </c>
      <c r="E758" s="8">
        <f>VLOOKUP(B758,T.productos!$A$1:$E$15,4,0)</f>
        <v>0.61</v>
      </c>
      <c r="F758" s="8">
        <f>VLOOKUP(B758,T.productos!$A$1:$E$15,5,0)</f>
        <v>0.4</v>
      </c>
      <c r="G758" s="9">
        <f t="shared" si="11"/>
        <v>0.34426229508196721</v>
      </c>
    </row>
    <row r="759" spans="1:7" x14ac:dyDescent="0.25">
      <c r="A759" s="4">
        <v>4</v>
      </c>
      <c r="B759" s="5">
        <v>12</v>
      </c>
      <c r="C759" s="6">
        <v>39790</v>
      </c>
      <c r="D759" s="7">
        <v>2630</v>
      </c>
      <c r="E759" s="8">
        <f>VLOOKUP(B759,T.productos!$A$1:$E$15,4,0)</f>
        <v>2.42</v>
      </c>
      <c r="F759" s="8">
        <f>VLOOKUP(B759,T.productos!$A$1:$E$15,5,0)</f>
        <v>1.68</v>
      </c>
      <c r="G759" s="9">
        <f t="shared" si="11"/>
        <v>0.30578512396694213</v>
      </c>
    </row>
    <row r="760" spans="1:7" x14ac:dyDescent="0.25">
      <c r="A760" s="4">
        <v>3</v>
      </c>
      <c r="B760" s="5">
        <v>3</v>
      </c>
      <c r="C760" s="6">
        <v>38443</v>
      </c>
      <c r="D760" s="7">
        <v>2676</v>
      </c>
      <c r="E760" s="8">
        <f>VLOOKUP(B760,T.productos!$A$1:$E$15,4,0)</f>
        <v>1.94</v>
      </c>
      <c r="F760" s="8">
        <f>VLOOKUP(B760,T.productos!$A$1:$E$15,5,0)</f>
        <v>1.89</v>
      </c>
      <c r="G760" s="9">
        <f t="shared" si="11"/>
        <v>2.5773195876288658E-2</v>
      </c>
    </row>
    <row r="761" spans="1:7" x14ac:dyDescent="0.25">
      <c r="A761" s="4">
        <v>5</v>
      </c>
      <c r="B761" s="5">
        <v>7</v>
      </c>
      <c r="C761" s="6">
        <v>39043</v>
      </c>
      <c r="D761" s="7">
        <v>1727</v>
      </c>
      <c r="E761" s="8">
        <f>VLOOKUP(B761,T.productos!$A$1:$E$15,4,0)</f>
        <v>0.97</v>
      </c>
      <c r="F761" s="8">
        <f>VLOOKUP(B761,T.productos!$A$1:$E$15,5,0)</f>
        <v>0.19</v>
      </c>
      <c r="G761" s="9">
        <f t="shared" si="11"/>
        <v>0.80412371134020622</v>
      </c>
    </row>
    <row r="762" spans="1:7" x14ac:dyDescent="0.25">
      <c r="A762" s="4">
        <v>3</v>
      </c>
      <c r="B762" s="5">
        <v>12</v>
      </c>
      <c r="C762" s="6">
        <v>38438</v>
      </c>
      <c r="D762" s="7">
        <v>2199</v>
      </c>
      <c r="E762" s="8">
        <f>VLOOKUP(B762,T.productos!$A$1:$E$15,4,0)</f>
        <v>2.42</v>
      </c>
      <c r="F762" s="8">
        <f>VLOOKUP(B762,T.productos!$A$1:$E$15,5,0)</f>
        <v>1.68</v>
      </c>
      <c r="G762" s="9">
        <f t="shared" si="11"/>
        <v>0.30578512396694213</v>
      </c>
    </row>
    <row r="763" spans="1:7" x14ac:dyDescent="0.25">
      <c r="A763" s="4">
        <v>5</v>
      </c>
      <c r="B763" s="5">
        <v>7</v>
      </c>
      <c r="C763" s="6">
        <v>39053</v>
      </c>
      <c r="D763" s="7">
        <v>1455</v>
      </c>
      <c r="E763" s="8">
        <f>VLOOKUP(B763,T.productos!$A$1:$E$15,4,0)</f>
        <v>0.97</v>
      </c>
      <c r="F763" s="8">
        <f>VLOOKUP(B763,T.productos!$A$1:$E$15,5,0)</f>
        <v>0.19</v>
      </c>
      <c r="G763" s="9">
        <f t="shared" si="11"/>
        <v>0.80412371134020622</v>
      </c>
    </row>
    <row r="764" spans="1:7" x14ac:dyDescent="0.25">
      <c r="A764" s="4">
        <v>2</v>
      </c>
      <c r="B764" s="5">
        <v>10</v>
      </c>
      <c r="C764" s="6">
        <v>38252</v>
      </c>
      <c r="D764" s="7">
        <v>1979</v>
      </c>
      <c r="E764" s="8">
        <f>VLOOKUP(B764,T.productos!$A$1:$E$15,4,0)</f>
        <v>0.61</v>
      </c>
      <c r="F764" s="8">
        <f>VLOOKUP(B764,T.productos!$A$1:$E$15,5,0)</f>
        <v>0.4</v>
      </c>
      <c r="G764" s="9">
        <f t="shared" si="11"/>
        <v>0.34426229508196721</v>
      </c>
    </row>
    <row r="765" spans="1:7" x14ac:dyDescent="0.25">
      <c r="A765" s="4">
        <v>2</v>
      </c>
      <c r="B765" s="5">
        <v>9</v>
      </c>
      <c r="C765" s="6">
        <v>39598</v>
      </c>
      <c r="D765" s="7">
        <v>1258</v>
      </c>
      <c r="E765" s="8">
        <f>VLOOKUP(B765,T.productos!$A$1:$E$15,4,0)</f>
        <v>1.21</v>
      </c>
      <c r="F765" s="8">
        <f>VLOOKUP(B765,T.productos!$A$1:$E$15,5,0)</f>
        <v>0.36</v>
      </c>
      <c r="G765" s="9">
        <f t="shared" si="11"/>
        <v>0.7024793388429752</v>
      </c>
    </row>
    <row r="766" spans="1:7" x14ac:dyDescent="0.25">
      <c r="A766" s="4">
        <v>4</v>
      </c>
      <c r="B766" s="5">
        <v>3</v>
      </c>
      <c r="C766" s="6">
        <v>39912</v>
      </c>
      <c r="D766" s="7">
        <v>1745</v>
      </c>
      <c r="E766" s="8">
        <f>VLOOKUP(B766,T.productos!$A$1:$E$15,4,0)</f>
        <v>1.94</v>
      </c>
      <c r="F766" s="8">
        <f>VLOOKUP(B766,T.productos!$A$1:$E$15,5,0)</f>
        <v>1.89</v>
      </c>
      <c r="G766" s="9">
        <f t="shared" si="11"/>
        <v>2.5773195876288658E-2</v>
      </c>
    </row>
    <row r="767" spans="1:7" x14ac:dyDescent="0.25">
      <c r="A767" s="4">
        <v>2</v>
      </c>
      <c r="B767" s="5">
        <v>14</v>
      </c>
      <c r="C767" s="6">
        <v>38057</v>
      </c>
      <c r="D767" s="7">
        <v>2841</v>
      </c>
      <c r="E767" s="8">
        <f>VLOOKUP(B767,T.productos!$A$1:$E$15,4,0)</f>
        <v>3.63</v>
      </c>
      <c r="F767" s="8">
        <f>VLOOKUP(B767,T.productos!$A$1:$E$15,5,0)</f>
        <v>3.2</v>
      </c>
      <c r="G767" s="9">
        <f t="shared" si="11"/>
        <v>0.1184573002754821</v>
      </c>
    </row>
    <row r="768" spans="1:7" x14ac:dyDescent="0.25">
      <c r="A768" s="4">
        <v>4</v>
      </c>
      <c r="B768" s="5">
        <v>1</v>
      </c>
      <c r="C768" s="6">
        <v>39342</v>
      </c>
      <c r="D768" s="7">
        <v>732</v>
      </c>
      <c r="E768" s="8">
        <f>VLOOKUP(B768,T.productos!$A$1:$E$15,4,0)</f>
        <v>3.93</v>
      </c>
      <c r="F768" s="8">
        <f>VLOOKUP(B768,T.productos!$A$1:$E$15,5,0)</f>
        <v>3.4</v>
      </c>
      <c r="G768" s="9">
        <f t="shared" si="11"/>
        <v>0.13486005089058525</v>
      </c>
    </row>
    <row r="769" spans="1:7" x14ac:dyDescent="0.25">
      <c r="A769" s="4">
        <v>2</v>
      </c>
      <c r="B769" s="5">
        <v>14</v>
      </c>
      <c r="C769" s="6">
        <v>38323</v>
      </c>
      <c r="D769" s="7">
        <v>2064</v>
      </c>
      <c r="E769" s="8">
        <f>VLOOKUP(B769,T.productos!$A$1:$E$15,4,0)</f>
        <v>3.63</v>
      </c>
      <c r="F769" s="8">
        <f>VLOOKUP(B769,T.productos!$A$1:$E$15,5,0)</f>
        <v>3.2</v>
      </c>
      <c r="G769" s="9">
        <f t="shared" si="11"/>
        <v>0.1184573002754821</v>
      </c>
    </row>
    <row r="770" spans="1:7" x14ac:dyDescent="0.25">
      <c r="A770" s="4">
        <v>2</v>
      </c>
      <c r="B770" s="5">
        <v>12</v>
      </c>
      <c r="C770" s="6">
        <v>38381</v>
      </c>
      <c r="D770" s="7">
        <v>2595</v>
      </c>
      <c r="E770" s="8">
        <f>VLOOKUP(B770,T.productos!$A$1:$E$15,4,0)</f>
        <v>2.42</v>
      </c>
      <c r="F770" s="8">
        <f>VLOOKUP(B770,T.productos!$A$1:$E$15,5,0)</f>
        <v>1.68</v>
      </c>
      <c r="G770" s="9">
        <f t="shared" ref="G770:G833" si="12">margen(D770,E770,F770)</f>
        <v>0.30578512396694213</v>
      </c>
    </row>
    <row r="771" spans="1:7" x14ac:dyDescent="0.25">
      <c r="A771" s="4">
        <v>3</v>
      </c>
      <c r="B771" s="5">
        <v>10</v>
      </c>
      <c r="C771" s="6">
        <v>39706</v>
      </c>
      <c r="D771" s="7">
        <v>1824</v>
      </c>
      <c r="E771" s="8">
        <f>VLOOKUP(B771,T.productos!$A$1:$E$15,4,0)</f>
        <v>0.61</v>
      </c>
      <c r="F771" s="8">
        <f>VLOOKUP(B771,T.productos!$A$1:$E$15,5,0)</f>
        <v>0.4</v>
      </c>
      <c r="G771" s="9">
        <f t="shared" si="12"/>
        <v>0.34426229508196721</v>
      </c>
    </row>
    <row r="772" spans="1:7" x14ac:dyDescent="0.25">
      <c r="A772" s="4">
        <v>2</v>
      </c>
      <c r="B772" s="5">
        <v>10</v>
      </c>
      <c r="C772" s="6">
        <v>38617</v>
      </c>
      <c r="D772" s="7">
        <v>2651</v>
      </c>
      <c r="E772" s="8">
        <f>VLOOKUP(B772,T.productos!$A$1:$E$15,4,0)</f>
        <v>0.61</v>
      </c>
      <c r="F772" s="8">
        <f>VLOOKUP(B772,T.productos!$A$1:$E$15,5,0)</f>
        <v>0.4</v>
      </c>
      <c r="G772" s="9">
        <f t="shared" si="12"/>
        <v>0.34426229508196721</v>
      </c>
    </row>
    <row r="773" spans="1:7" x14ac:dyDescent="0.25">
      <c r="A773" s="4">
        <v>3</v>
      </c>
      <c r="B773" s="5">
        <v>3</v>
      </c>
      <c r="C773" s="6">
        <v>38812</v>
      </c>
      <c r="D773" s="7">
        <v>420</v>
      </c>
      <c r="E773" s="8">
        <f>VLOOKUP(B773,T.productos!$A$1:$E$15,4,0)</f>
        <v>1.94</v>
      </c>
      <c r="F773" s="8">
        <f>VLOOKUP(B773,T.productos!$A$1:$E$15,5,0)</f>
        <v>1.89</v>
      </c>
      <c r="G773" s="9">
        <f t="shared" si="12"/>
        <v>2.5773195876288658E-2</v>
      </c>
    </row>
    <row r="774" spans="1:7" x14ac:dyDescent="0.25">
      <c r="A774" s="4">
        <v>1</v>
      </c>
      <c r="B774" s="5">
        <v>9</v>
      </c>
      <c r="C774" s="6">
        <v>38549</v>
      </c>
      <c r="D774" s="7">
        <v>926</v>
      </c>
      <c r="E774" s="8">
        <f>VLOOKUP(B774,T.productos!$A$1:$E$15,4,0)</f>
        <v>1.21</v>
      </c>
      <c r="F774" s="8">
        <f>VLOOKUP(B774,T.productos!$A$1:$E$15,5,0)</f>
        <v>0.36</v>
      </c>
      <c r="G774" s="9">
        <f t="shared" si="12"/>
        <v>0.7024793388429752</v>
      </c>
    </row>
    <row r="775" spans="1:7" x14ac:dyDescent="0.25">
      <c r="A775" s="4">
        <v>4</v>
      </c>
      <c r="B775" s="5">
        <v>6</v>
      </c>
      <c r="C775" s="6">
        <v>38416</v>
      </c>
      <c r="D775" s="7">
        <v>986</v>
      </c>
      <c r="E775" s="8">
        <f>VLOOKUP(B775,T.productos!$A$1:$E$15,4,0)</f>
        <v>2.42</v>
      </c>
      <c r="F775" s="8">
        <f>VLOOKUP(B775,T.productos!$A$1:$E$15,5,0)</f>
        <v>2.2799999999999998</v>
      </c>
      <c r="G775" s="9">
        <f t="shared" si="12"/>
        <v>5.7851239669421489E-2</v>
      </c>
    </row>
    <row r="776" spans="1:7" x14ac:dyDescent="0.25">
      <c r="A776" s="4">
        <v>1</v>
      </c>
      <c r="B776" s="5">
        <v>14</v>
      </c>
      <c r="C776" s="6">
        <v>38367</v>
      </c>
      <c r="D776" s="7">
        <v>2960</v>
      </c>
      <c r="E776" s="8">
        <f>VLOOKUP(B776,T.productos!$A$1:$E$15,4,0)</f>
        <v>3.63</v>
      </c>
      <c r="F776" s="8">
        <f>VLOOKUP(B776,T.productos!$A$1:$E$15,5,0)</f>
        <v>3.2</v>
      </c>
      <c r="G776" s="9">
        <f t="shared" si="12"/>
        <v>0.1184573002754821</v>
      </c>
    </row>
    <row r="777" spans="1:7" x14ac:dyDescent="0.25">
      <c r="A777" s="4">
        <v>5</v>
      </c>
      <c r="B777" s="5">
        <v>2</v>
      </c>
      <c r="C777" s="6">
        <v>39427</v>
      </c>
      <c r="D777" s="7">
        <v>507</v>
      </c>
      <c r="E777" s="8">
        <f>VLOOKUP(B777,T.productos!$A$1:$E$15,4,0)</f>
        <v>1.63</v>
      </c>
      <c r="F777" s="8">
        <f>VLOOKUP(B777,T.productos!$A$1:$E$15,5,0)</f>
        <v>1.42</v>
      </c>
      <c r="G777" s="9">
        <f t="shared" si="12"/>
        <v>0.12883435582822086</v>
      </c>
    </row>
    <row r="778" spans="1:7" x14ac:dyDescent="0.25">
      <c r="A778" s="4">
        <v>3</v>
      </c>
      <c r="B778" s="5">
        <v>7</v>
      </c>
      <c r="C778" s="6">
        <v>38829</v>
      </c>
      <c r="D778" s="7">
        <v>2580</v>
      </c>
      <c r="E778" s="8">
        <f>VLOOKUP(B778,T.productos!$A$1:$E$15,4,0)</f>
        <v>0.97</v>
      </c>
      <c r="F778" s="8">
        <f>VLOOKUP(B778,T.productos!$A$1:$E$15,5,0)</f>
        <v>0.19</v>
      </c>
      <c r="G778" s="9">
        <f t="shared" si="12"/>
        <v>0.80412371134020622</v>
      </c>
    </row>
    <row r="779" spans="1:7" x14ac:dyDescent="0.25">
      <c r="A779" s="4">
        <v>4</v>
      </c>
      <c r="B779" s="5">
        <v>9</v>
      </c>
      <c r="C779" s="6">
        <v>38399</v>
      </c>
      <c r="D779" s="7">
        <v>620</v>
      </c>
      <c r="E779" s="8">
        <f>VLOOKUP(B779,T.productos!$A$1:$E$15,4,0)</f>
        <v>1.21</v>
      </c>
      <c r="F779" s="8">
        <f>VLOOKUP(B779,T.productos!$A$1:$E$15,5,0)</f>
        <v>0.36</v>
      </c>
      <c r="G779" s="9">
        <f t="shared" si="12"/>
        <v>0.7024793388429752</v>
      </c>
    </row>
    <row r="780" spans="1:7" x14ac:dyDescent="0.25">
      <c r="A780" s="4">
        <v>5</v>
      </c>
      <c r="B780" s="5">
        <v>7</v>
      </c>
      <c r="C780" s="6">
        <v>38671</v>
      </c>
      <c r="D780" s="7">
        <v>2816</v>
      </c>
      <c r="E780" s="8">
        <f>VLOOKUP(B780,T.productos!$A$1:$E$15,4,0)</f>
        <v>0.97</v>
      </c>
      <c r="F780" s="8">
        <f>VLOOKUP(B780,T.productos!$A$1:$E$15,5,0)</f>
        <v>0.19</v>
      </c>
      <c r="G780" s="9">
        <f t="shared" si="12"/>
        <v>0.80412371134020622</v>
      </c>
    </row>
    <row r="781" spans="1:7" x14ac:dyDescent="0.25">
      <c r="A781" s="4">
        <v>2</v>
      </c>
      <c r="B781" s="5">
        <v>12</v>
      </c>
      <c r="C781" s="6">
        <v>38923</v>
      </c>
      <c r="D781" s="7">
        <v>1851</v>
      </c>
      <c r="E781" s="8">
        <f>VLOOKUP(B781,T.productos!$A$1:$E$15,4,0)</f>
        <v>2.42</v>
      </c>
      <c r="F781" s="8">
        <f>VLOOKUP(B781,T.productos!$A$1:$E$15,5,0)</f>
        <v>1.68</v>
      </c>
      <c r="G781" s="9">
        <f t="shared" si="12"/>
        <v>0.30578512396694213</v>
      </c>
    </row>
    <row r="782" spans="1:7" x14ac:dyDescent="0.25">
      <c r="A782" s="4">
        <v>2</v>
      </c>
      <c r="B782" s="5">
        <v>7</v>
      </c>
      <c r="C782" s="6">
        <v>38060</v>
      </c>
      <c r="D782" s="7">
        <v>1811</v>
      </c>
      <c r="E782" s="8">
        <f>VLOOKUP(B782,T.productos!$A$1:$E$15,4,0)</f>
        <v>0.97</v>
      </c>
      <c r="F782" s="8">
        <f>VLOOKUP(B782,T.productos!$A$1:$E$15,5,0)</f>
        <v>0.19</v>
      </c>
      <c r="G782" s="9">
        <f t="shared" si="12"/>
        <v>0.80412371134020622</v>
      </c>
    </row>
    <row r="783" spans="1:7" x14ac:dyDescent="0.25">
      <c r="A783" s="4">
        <v>3</v>
      </c>
      <c r="B783" s="5">
        <v>10</v>
      </c>
      <c r="C783" s="6">
        <v>39429</v>
      </c>
      <c r="D783" s="7">
        <v>2498</v>
      </c>
      <c r="E783" s="8">
        <f>VLOOKUP(B783,T.productos!$A$1:$E$15,4,0)</f>
        <v>0.61</v>
      </c>
      <c r="F783" s="8">
        <f>VLOOKUP(B783,T.productos!$A$1:$E$15,5,0)</f>
        <v>0.4</v>
      </c>
      <c r="G783" s="9">
        <f t="shared" si="12"/>
        <v>0.34426229508196721</v>
      </c>
    </row>
    <row r="784" spans="1:7" x14ac:dyDescent="0.25">
      <c r="A784" s="4">
        <v>3</v>
      </c>
      <c r="B784" s="5">
        <v>7</v>
      </c>
      <c r="C784" s="6">
        <v>39535</v>
      </c>
      <c r="D784" s="7">
        <v>652</v>
      </c>
      <c r="E784" s="8">
        <f>VLOOKUP(B784,T.productos!$A$1:$E$15,4,0)</f>
        <v>0.97</v>
      </c>
      <c r="F784" s="8">
        <f>VLOOKUP(B784,T.productos!$A$1:$E$15,5,0)</f>
        <v>0.19</v>
      </c>
      <c r="G784" s="9">
        <f t="shared" si="12"/>
        <v>0.80412371134020622</v>
      </c>
    </row>
    <row r="785" spans="1:7" x14ac:dyDescent="0.25">
      <c r="A785" s="4">
        <v>5</v>
      </c>
      <c r="B785" s="5">
        <v>4</v>
      </c>
      <c r="C785" s="6">
        <v>38817</v>
      </c>
      <c r="D785" s="7">
        <v>2376</v>
      </c>
      <c r="E785" s="8">
        <f>VLOOKUP(B785,T.productos!$A$1:$E$15,4,0)</f>
        <v>0.61</v>
      </c>
      <c r="F785" s="8">
        <f>VLOOKUP(B785,T.productos!$A$1:$E$15,5,0)</f>
        <v>0.28999999999999998</v>
      </c>
      <c r="G785" s="9">
        <f t="shared" si="12"/>
        <v>0.52459016393442626</v>
      </c>
    </row>
    <row r="786" spans="1:7" x14ac:dyDescent="0.25">
      <c r="A786" s="4">
        <v>2</v>
      </c>
      <c r="B786" s="5">
        <v>5</v>
      </c>
      <c r="C786" s="6">
        <v>39652</v>
      </c>
      <c r="D786" s="7">
        <v>814</v>
      </c>
      <c r="E786" s="8">
        <f>VLOOKUP(B786,T.productos!$A$1:$E$15,4,0)</f>
        <v>2.54</v>
      </c>
      <c r="F786" s="8">
        <f>VLOOKUP(B786,T.productos!$A$1:$E$15,5,0)</f>
        <v>2.2799999999999998</v>
      </c>
      <c r="G786" s="9">
        <f t="shared" si="12"/>
        <v>0.10236220472440945</v>
      </c>
    </row>
    <row r="787" spans="1:7" x14ac:dyDescent="0.25">
      <c r="A787" s="4">
        <v>2</v>
      </c>
      <c r="B787" s="5">
        <v>4</v>
      </c>
      <c r="C787" s="6">
        <v>38713</v>
      </c>
      <c r="D787" s="7">
        <v>1788</v>
      </c>
      <c r="E787" s="8">
        <f>VLOOKUP(B787,T.productos!$A$1:$E$15,4,0)</f>
        <v>0.61</v>
      </c>
      <c r="F787" s="8">
        <f>VLOOKUP(B787,T.productos!$A$1:$E$15,5,0)</f>
        <v>0.28999999999999998</v>
      </c>
      <c r="G787" s="9">
        <f t="shared" si="12"/>
        <v>0.52459016393442626</v>
      </c>
    </row>
    <row r="788" spans="1:7" x14ac:dyDescent="0.25">
      <c r="A788" s="4">
        <v>3</v>
      </c>
      <c r="B788" s="5">
        <v>3</v>
      </c>
      <c r="C788" s="6">
        <v>38657</v>
      </c>
      <c r="D788" s="7">
        <v>592</v>
      </c>
      <c r="E788" s="8">
        <f>VLOOKUP(B788,T.productos!$A$1:$E$15,4,0)</f>
        <v>1.94</v>
      </c>
      <c r="F788" s="8">
        <f>VLOOKUP(B788,T.productos!$A$1:$E$15,5,0)</f>
        <v>1.89</v>
      </c>
      <c r="G788" s="9">
        <f t="shared" si="12"/>
        <v>2.5773195876288658E-2</v>
      </c>
    </row>
    <row r="789" spans="1:7" x14ac:dyDescent="0.25">
      <c r="A789" s="4">
        <v>1</v>
      </c>
      <c r="B789" s="5">
        <v>7</v>
      </c>
      <c r="C789" s="6">
        <v>38830</v>
      </c>
      <c r="D789" s="7">
        <v>316</v>
      </c>
      <c r="E789" s="8">
        <f>VLOOKUP(B789,T.productos!$A$1:$E$15,4,0)</f>
        <v>0.97</v>
      </c>
      <c r="F789" s="8">
        <f>VLOOKUP(B789,T.productos!$A$1:$E$15,5,0)</f>
        <v>0.19</v>
      </c>
      <c r="G789" s="9">
        <f t="shared" si="12"/>
        <v>0.80412371134020622</v>
      </c>
    </row>
    <row r="790" spans="1:7" x14ac:dyDescent="0.25">
      <c r="A790" s="4">
        <v>1</v>
      </c>
      <c r="B790" s="5">
        <v>2</v>
      </c>
      <c r="C790" s="6">
        <v>39530</v>
      </c>
      <c r="D790" s="7">
        <v>620</v>
      </c>
      <c r="E790" s="8">
        <f>VLOOKUP(B790,T.productos!$A$1:$E$15,4,0)</f>
        <v>1.63</v>
      </c>
      <c r="F790" s="8">
        <f>VLOOKUP(B790,T.productos!$A$1:$E$15,5,0)</f>
        <v>1.42</v>
      </c>
      <c r="G790" s="9">
        <f t="shared" si="12"/>
        <v>0.12883435582822086</v>
      </c>
    </row>
    <row r="791" spans="1:7" x14ac:dyDescent="0.25">
      <c r="A791" s="4">
        <v>5</v>
      </c>
      <c r="B791" s="5">
        <v>4</v>
      </c>
      <c r="C791" s="6">
        <v>39989</v>
      </c>
      <c r="D791" s="7">
        <v>2603</v>
      </c>
      <c r="E791" s="8">
        <f>VLOOKUP(B791,T.productos!$A$1:$E$15,4,0)</f>
        <v>0.61</v>
      </c>
      <c r="F791" s="8">
        <f>VLOOKUP(B791,T.productos!$A$1:$E$15,5,0)</f>
        <v>0.28999999999999998</v>
      </c>
      <c r="G791" s="9">
        <f t="shared" si="12"/>
        <v>0.52459016393442626</v>
      </c>
    </row>
    <row r="792" spans="1:7" x14ac:dyDescent="0.25">
      <c r="A792" s="4">
        <v>5</v>
      </c>
      <c r="B792" s="5">
        <v>6</v>
      </c>
      <c r="C792" s="6">
        <v>38944</v>
      </c>
      <c r="D792" s="7">
        <v>591</v>
      </c>
      <c r="E792" s="8">
        <f>VLOOKUP(B792,T.productos!$A$1:$E$15,4,0)</f>
        <v>2.42</v>
      </c>
      <c r="F792" s="8">
        <f>VLOOKUP(B792,T.productos!$A$1:$E$15,5,0)</f>
        <v>2.2799999999999998</v>
      </c>
      <c r="G792" s="9">
        <f t="shared" si="12"/>
        <v>5.7851239669421489E-2</v>
      </c>
    </row>
    <row r="793" spans="1:7" x14ac:dyDescent="0.25">
      <c r="A793" s="4">
        <v>1</v>
      </c>
      <c r="B793" s="5">
        <v>5</v>
      </c>
      <c r="C793" s="6">
        <v>39501</v>
      </c>
      <c r="D793" s="7">
        <v>1298</v>
      </c>
      <c r="E793" s="8">
        <f>VLOOKUP(B793,T.productos!$A$1:$E$15,4,0)</f>
        <v>2.54</v>
      </c>
      <c r="F793" s="8">
        <f>VLOOKUP(B793,T.productos!$A$1:$E$15,5,0)</f>
        <v>2.2799999999999998</v>
      </c>
      <c r="G793" s="9">
        <f t="shared" si="12"/>
        <v>0.10236220472440945</v>
      </c>
    </row>
    <row r="794" spans="1:7" x14ac:dyDescent="0.25">
      <c r="A794" s="4">
        <v>4</v>
      </c>
      <c r="B794" s="5">
        <v>5</v>
      </c>
      <c r="C794" s="6">
        <v>39942</v>
      </c>
      <c r="D794" s="7">
        <v>2551</v>
      </c>
      <c r="E794" s="8">
        <f>VLOOKUP(B794,T.productos!$A$1:$E$15,4,0)</f>
        <v>2.54</v>
      </c>
      <c r="F794" s="8">
        <f>VLOOKUP(B794,T.productos!$A$1:$E$15,5,0)</f>
        <v>2.2799999999999998</v>
      </c>
      <c r="G794" s="9">
        <f t="shared" si="12"/>
        <v>0.10236220472440945</v>
      </c>
    </row>
    <row r="795" spans="1:7" x14ac:dyDescent="0.25">
      <c r="A795" s="4">
        <v>5</v>
      </c>
      <c r="B795" s="5">
        <v>5</v>
      </c>
      <c r="C795" s="6">
        <v>39408</v>
      </c>
      <c r="D795" s="7">
        <v>754</v>
      </c>
      <c r="E795" s="8">
        <f>VLOOKUP(B795,T.productos!$A$1:$E$15,4,0)</f>
        <v>2.54</v>
      </c>
      <c r="F795" s="8">
        <f>VLOOKUP(B795,T.productos!$A$1:$E$15,5,0)</f>
        <v>2.2799999999999998</v>
      </c>
      <c r="G795" s="9">
        <f t="shared" si="12"/>
        <v>0.10236220472440945</v>
      </c>
    </row>
    <row r="796" spans="1:7" x14ac:dyDescent="0.25">
      <c r="A796" s="4">
        <v>5</v>
      </c>
      <c r="B796" s="5">
        <v>13</v>
      </c>
      <c r="C796" s="6">
        <v>39689</v>
      </c>
      <c r="D796" s="7">
        <v>1901</v>
      </c>
      <c r="E796" s="8">
        <f>VLOOKUP(B796,T.productos!$A$1:$E$15,4,0)</f>
        <v>0.24</v>
      </c>
      <c r="F796" s="8">
        <f>VLOOKUP(B796,T.productos!$A$1:$E$15,5,0)</f>
        <v>0.12</v>
      </c>
      <c r="G796" s="9">
        <f t="shared" si="12"/>
        <v>0.5</v>
      </c>
    </row>
    <row r="797" spans="1:7" x14ac:dyDescent="0.25">
      <c r="A797" s="4">
        <v>3</v>
      </c>
      <c r="B797" s="5">
        <v>2</v>
      </c>
      <c r="C797" s="6">
        <v>38703</v>
      </c>
      <c r="D797" s="7">
        <v>2179</v>
      </c>
      <c r="E797" s="8">
        <f>VLOOKUP(B797,T.productos!$A$1:$E$15,4,0)</f>
        <v>1.63</v>
      </c>
      <c r="F797" s="8">
        <f>VLOOKUP(B797,T.productos!$A$1:$E$15,5,0)</f>
        <v>1.42</v>
      </c>
      <c r="G797" s="9">
        <f t="shared" si="12"/>
        <v>0.12883435582822086</v>
      </c>
    </row>
    <row r="798" spans="1:7" x14ac:dyDescent="0.25">
      <c r="A798" s="4">
        <v>5</v>
      </c>
      <c r="B798" s="5">
        <v>10</v>
      </c>
      <c r="C798" s="6">
        <v>39597</v>
      </c>
      <c r="D798" s="7">
        <v>2514</v>
      </c>
      <c r="E798" s="8">
        <f>VLOOKUP(B798,T.productos!$A$1:$E$15,4,0)</f>
        <v>0.61</v>
      </c>
      <c r="F798" s="8">
        <f>VLOOKUP(B798,T.productos!$A$1:$E$15,5,0)</f>
        <v>0.4</v>
      </c>
      <c r="G798" s="9">
        <f t="shared" si="12"/>
        <v>0.34426229508196721</v>
      </c>
    </row>
    <row r="799" spans="1:7" x14ac:dyDescent="0.25">
      <c r="A799" s="4">
        <v>5</v>
      </c>
      <c r="B799" s="5">
        <v>8</v>
      </c>
      <c r="C799" s="6">
        <v>38738</v>
      </c>
      <c r="D799" s="7">
        <v>588</v>
      </c>
      <c r="E799" s="8">
        <f>VLOOKUP(B799,T.productos!$A$1:$E$15,4,0)</f>
        <v>3.63</v>
      </c>
      <c r="F799" s="8">
        <f>VLOOKUP(B799,T.productos!$A$1:$E$15,5,0)</f>
        <v>3.35</v>
      </c>
      <c r="G799" s="9">
        <f t="shared" si="12"/>
        <v>7.7134986225895319E-2</v>
      </c>
    </row>
    <row r="800" spans="1:7" x14ac:dyDescent="0.25">
      <c r="A800" s="4">
        <v>4</v>
      </c>
      <c r="B800" s="5">
        <v>12</v>
      </c>
      <c r="C800" s="6">
        <v>38243</v>
      </c>
      <c r="D800" s="7">
        <v>1192</v>
      </c>
      <c r="E800" s="8">
        <f>VLOOKUP(B800,T.productos!$A$1:$E$15,4,0)</f>
        <v>2.42</v>
      </c>
      <c r="F800" s="8">
        <f>VLOOKUP(B800,T.productos!$A$1:$E$15,5,0)</f>
        <v>1.68</v>
      </c>
      <c r="G800" s="9">
        <f t="shared" si="12"/>
        <v>0.30578512396694213</v>
      </c>
    </row>
    <row r="801" spans="1:7" x14ac:dyDescent="0.25">
      <c r="A801" s="4">
        <v>3</v>
      </c>
      <c r="B801" s="5">
        <v>14</v>
      </c>
      <c r="C801" s="6">
        <v>39911</v>
      </c>
      <c r="D801" s="7">
        <v>833</v>
      </c>
      <c r="E801" s="8">
        <f>VLOOKUP(B801,T.productos!$A$1:$E$15,4,0)</f>
        <v>3.63</v>
      </c>
      <c r="F801" s="8">
        <f>VLOOKUP(B801,T.productos!$A$1:$E$15,5,0)</f>
        <v>3.2</v>
      </c>
      <c r="G801" s="9">
        <f t="shared" si="12"/>
        <v>0.1184573002754821</v>
      </c>
    </row>
    <row r="802" spans="1:7" x14ac:dyDescent="0.25">
      <c r="A802" s="4">
        <v>4</v>
      </c>
      <c r="B802" s="5">
        <v>11</v>
      </c>
      <c r="C802" s="6">
        <v>38465</v>
      </c>
      <c r="D802" s="7">
        <v>1403</v>
      </c>
      <c r="E802" s="8">
        <f>VLOOKUP(B802,T.productos!$A$1:$E$15,4,0)</f>
        <v>1.21</v>
      </c>
      <c r="F802" s="8">
        <f>VLOOKUP(B802,T.productos!$A$1:$E$15,5,0)</f>
        <v>0.72</v>
      </c>
      <c r="G802" s="9">
        <f t="shared" si="12"/>
        <v>0.4049586776859504</v>
      </c>
    </row>
    <row r="803" spans="1:7" x14ac:dyDescent="0.25">
      <c r="A803" s="4">
        <v>1</v>
      </c>
      <c r="B803" s="5">
        <v>9</v>
      </c>
      <c r="C803" s="6">
        <v>39406</v>
      </c>
      <c r="D803" s="7">
        <v>2377</v>
      </c>
      <c r="E803" s="8">
        <f>VLOOKUP(B803,T.productos!$A$1:$E$15,4,0)</f>
        <v>1.21</v>
      </c>
      <c r="F803" s="8">
        <f>VLOOKUP(B803,T.productos!$A$1:$E$15,5,0)</f>
        <v>0.36</v>
      </c>
      <c r="G803" s="9">
        <f t="shared" si="12"/>
        <v>0.7024793388429752</v>
      </c>
    </row>
    <row r="804" spans="1:7" x14ac:dyDescent="0.25">
      <c r="A804" s="4">
        <v>4</v>
      </c>
      <c r="B804" s="5">
        <v>11</v>
      </c>
      <c r="C804" s="6">
        <v>39528</v>
      </c>
      <c r="D804" s="7">
        <v>1767</v>
      </c>
      <c r="E804" s="8">
        <f>VLOOKUP(B804,T.productos!$A$1:$E$15,4,0)</f>
        <v>1.21</v>
      </c>
      <c r="F804" s="8">
        <f>VLOOKUP(B804,T.productos!$A$1:$E$15,5,0)</f>
        <v>0.72</v>
      </c>
      <c r="G804" s="9">
        <f t="shared" si="12"/>
        <v>0.4049586776859504</v>
      </c>
    </row>
    <row r="805" spans="1:7" x14ac:dyDescent="0.25">
      <c r="A805" s="4">
        <v>1</v>
      </c>
      <c r="B805" s="5">
        <v>5</v>
      </c>
      <c r="C805" s="6">
        <v>38859</v>
      </c>
      <c r="D805" s="7">
        <v>1894</v>
      </c>
      <c r="E805" s="8">
        <f>VLOOKUP(B805,T.productos!$A$1:$E$15,4,0)</f>
        <v>2.54</v>
      </c>
      <c r="F805" s="8">
        <f>VLOOKUP(B805,T.productos!$A$1:$E$15,5,0)</f>
        <v>2.2799999999999998</v>
      </c>
      <c r="G805" s="9">
        <f t="shared" si="12"/>
        <v>0.10236220472440945</v>
      </c>
    </row>
    <row r="806" spans="1:7" x14ac:dyDescent="0.25">
      <c r="A806" s="4">
        <v>4</v>
      </c>
      <c r="B806" s="5">
        <v>8</v>
      </c>
      <c r="C806" s="6">
        <v>38593</v>
      </c>
      <c r="D806" s="7">
        <v>1839</v>
      </c>
      <c r="E806" s="8">
        <f>VLOOKUP(B806,T.productos!$A$1:$E$15,4,0)</f>
        <v>3.63</v>
      </c>
      <c r="F806" s="8">
        <f>VLOOKUP(B806,T.productos!$A$1:$E$15,5,0)</f>
        <v>3.35</v>
      </c>
      <c r="G806" s="9">
        <f t="shared" si="12"/>
        <v>7.7134986225895319E-2</v>
      </c>
    </row>
    <row r="807" spans="1:7" x14ac:dyDescent="0.25">
      <c r="A807" s="4">
        <v>2</v>
      </c>
      <c r="B807" s="5">
        <v>4</v>
      </c>
      <c r="C807" s="6">
        <v>39474</v>
      </c>
      <c r="D807" s="7">
        <v>2765</v>
      </c>
      <c r="E807" s="8">
        <f>VLOOKUP(B807,T.productos!$A$1:$E$15,4,0)</f>
        <v>0.61</v>
      </c>
      <c r="F807" s="8">
        <f>VLOOKUP(B807,T.productos!$A$1:$E$15,5,0)</f>
        <v>0.28999999999999998</v>
      </c>
      <c r="G807" s="9">
        <f t="shared" si="12"/>
        <v>0.52459016393442626</v>
      </c>
    </row>
    <row r="808" spans="1:7" x14ac:dyDescent="0.25">
      <c r="A808" s="4">
        <v>3</v>
      </c>
      <c r="B808" s="5">
        <v>7</v>
      </c>
      <c r="C808" s="6">
        <v>38210</v>
      </c>
      <c r="D808" s="7">
        <v>2482</v>
      </c>
      <c r="E808" s="8">
        <f>VLOOKUP(B808,T.productos!$A$1:$E$15,4,0)</f>
        <v>0.97</v>
      </c>
      <c r="F808" s="8">
        <f>VLOOKUP(B808,T.productos!$A$1:$E$15,5,0)</f>
        <v>0.19</v>
      </c>
      <c r="G808" s="9">
        <f t="shared" si="12"/>
        <v>0.80412371134020622</v>
      </c>
    </row>
    <row r="809" spans="1:7" x14ac:dyDescent="0.25">
      <c r="A809" s="4">
        <v>5</v>
      </c>
      <c r="B809" s="5">
        <v>9</v>
      </c>
      <c r="C809" s="6">
        <v>39739</v>
      </c>
      <c r="D809" s="7">
        <v>1820</v>
      </c>
      <c r="E809" s="8">
        <f>VLOOKUP(B809,T.productos!$A$1:$E$15,4,0)</f>
        <v>1.21</v>
      </c>
      <c r="F809" s="8">
        <f>VLOOKUP(B809,T.productos!$A$1:$E$15,5,0)</f>
        <v>0.36</v>
      </c>
      <c r="G809" s="9">
        <f t="shared" si="12"/>
        <v>0.7024793388429752</v>
      </c>
    </row>
    <row r="810" spans="1:7" x14ac:dyDescent="0.25">
      <c r="A810" s="4">
        <v>5</v>
      </c>
      <c r="B810" s="5">
        <v>4</v>
      </c>
      <c r="C810" s="6">
        <v>39278</v>
      </c>
      <c r="D810" s="7">
        <v>888</v>
      </c>
      <c r="E810" s="8">
        <f>VLOOKUP(B810,T.productos!$A$1:$E$15,4,0)</f>
        <v>0.61</v>
      </c>
      <c r="F810" s="8">
        <f>VLOOKUP(B810,T.productos!$A$1:$E$15,5,0)</f>
        <v>0.28999999999999998</v>
      </c>
      <c r="G810" s="9">
        <f t="shared" si="12"/>
        <v>0.52459016393442626</v>
      </c>
    </row>
    <row r="811" spans="1:7" x14ac:dyDescent="0.25">
      <c r="A811" s="4">
        <v>3</v>
      </c>
      <c r="B811" s="5">
        <v>8</v>
      </c>
      <c r="C811" s="6">
        <v>39470</v>
      </c>
      <c r="D811" s="7">
        <v>1135</v>
      </c>
      <c r="E811" s="8">
        <f>VLOOKUP(B811,T.productos!$A$1:$E$15,4,0)</f>
        <v>3.63</v>
      </c>
      <c r="F811" s="8">
        <f>VLOOKUP(B811,T.productos!$A$1:$E$15,5,0)</f>
        <v>3.35</v>
      </c>
      <c r="G811" s="9">
        <f t="shared" si="12"/>
        <v>7.7134986225895319E-2</v>
      </c>
    </row>
    <row r="812" spans="1:7" x14ac:dyDescent="0.25">
      <c r="A812" s="4">
        <v>3</v>
      </c>
      <c r="B812" s="5">
        <v>5</v>
      </c>
      <c r="C812" s="6">
        <v>38391</v>
      </c>
      <c r="D812" s="7">
        <v>710</v>
      </c>
      <c r="E812" s="8">
        <f>VLOOKUP(B812,T.productos!$A$1:$E$15,4,0)</f>
        <v>2.54</v>
      </c>
      <c r="F812" s="8">
        <f>VLOOKUP(B812,T.productos!$A$1:$E$15,5,0)</f>
        <v>2.2799999999999998</v>
      </c>
      <c r="G812" s="9">
        <f t="shared" si="12"/>
        <v>0.10236220472440945</v>
      </c>
    </row>
    <row r="813" spans="1:7" x14ac:dyDescent="0.25">
      <c r="A813" s="4">
        <v>3</v>
      </c>
      <c r="B813" s="5">
        <v>11</v>
      </c>
      <c r="C813" s="6">
        <v>39595</v>
      </c>
      <c r="D813" s="7">
        <v>905</v>
      </c>
      <c r="E813" s="8">
        <f>VLOOKUP(B813,T.productos!$A$1:$E$15,4,0)</f>
        <v>1.21</v>
      </c>
      <c r="F813" s="8">
        <f>VLOOKUP(B813,T.productos!$A$1:$E$15,5,0)</f>
        <v>0.72</v>
      </c>
      <c r="G813" s="9">
        <f t="shared" si="12"/>
        <v>0.4049586776859504</v>
      </c>
    </row>
    <row r="814" spans="1:7" x14ac:dyDescent="0.25">
      <c r="A814" s="4">
        <v>3</v>
      </c>
      <c r="B814" s="5">
        <v>1</v>
      </c>
      <c r="C814" s="6">
        <v>38188</v>
      </c>
      <c r="D814" s="7">
        <v>2385</v>
      </c>
      <c r="E814" s="8">
        <f>VLOOKUP(B814,T.productos!$A$1:$E$15,4,0)</f>
        <v>3.93</v>
      </c>
      <c r="F814" s="8">
        <f>VLOOKUP(B814,T.productos!$A$1:$E$15,5,0)</f>
        <v>3.4</v>
      </c>
      <c r="G814" s="9">
        <f t="shared" si="12"/>
        <v>0.13486005089058525</v>
      </c>
    </row>
    <row r="815" spans="1:7" x14ac:dyDescent="0.25">
      <c r="A815" s="4">
        <v>5</v>
      </c>
      <c r="B815" s="5">
        <v>13</v>
      </c>
      <c r="C815" s="6">
        <v>39720</v>
      </c>
      <c r="D815" s="7">
        <v>2972</v>
      </c>
      <c r="E815" s="8">
        <f>VLOOKUP(B815,T.productos!$A$1:$E$15,4,0)</f>
        <v>0.24</v>
      </c>
      <c r="F815" s="8">
        <f>VLOOKUP(B815,T.productos!$A$1:$E$15,5,0)</f>
        <v>0.12</v>
      </c>
      <c r="G815" s="9">
        <f t="shared" si="12"/>
        <v>0.5</v>
      </c>
    </row>
    <row r="816" spans="1:7" x14ac:dyDescent="0.25">
      <c r="A816" s="4">
        <v>4</v>
      </c>
      <c r="B816" s="5">
        <v>4</v>
      </c>
      <c r="C816" s="6">
        <v>38147</v>
      </c>
      <c r="D816" s="7">
        <v>722</v>
      </c>
      <c r="E816" s="8">
        <f>VLOOKUP(B816,T.productos!$A$1:$E$15,4,0)</f>
        <v>0.61</v>
      </c>
      <c r="F816" s="8">
        <f>VLOOKUP(B816,T.productos!$A$1:$E$15,5,0)</f>
        <v>0.28999999999999998</v>
      </c>
      <c r="G816" s="9">
        <f t="shared" si="12"/>
        <v>0.52459016393442626</v>
      </c>
    </row>
    <row r="817" spans="1:7" x14ac:dyDescent="0.25">
      <c r="A817" s="4">
        <v>3</v>
      </c>
      <c r="B817" s="5">
        <v>1</v>
      </c>
      <c r="C817" s="6">
        <v>38104</v>
      </c>
      <c r="D817" s="7">
        <v>1727</v>
      </c>
      <c r="E817" s="8">
        <f>VLOOKUP(B817,T.productos!$A$1:$E$15,4,0)</f>
        <v>3.93</v>
      </c>
      <c r="F817" s="8">
        <f>VLOOKUP(B817,T.productos!$A$1:$E$15,5,0)</f>
        <v>3.4</v>
      </c>
      <c r="G817" s="9">
        <f t="shared" si="12"/>
        <v>0.13486005089058525</v>
      </c>
    </row>
    <row r="818" spans="1:7" x14ac:dyDescent="0.25">
      <c r="A818" s="4">
        <v>3</v>
      </c>
      <c r="B818" s="5">
        <v>6</v>
      </c>
      <c r="C818" s="6">
        <v>39356</v>
      </c>
      <c r="D818" s="7">
        <v>1293</v>
      </c>
      <c r="E818" s="8">
        <f>VLOOKUP(B818,T.productos!$A$1:$E$15,4,0)</f>
        <v>2.42</v>
      </c>
      <c r="F818" s="8">
        <f>VLOOKUP(B818,T.productos!$A$1:$E$15,5,0)</f>
        <v>2.2799999999999998</v>
      </c>
      <c r="G818" s="9">
        <f t="shared" si="12"/>
        <v>5.7851239669421489E-2</v>
      </c>
    </row>
    <row r="819" spans="1:7" x14ac:dyDescent="0.25">
      <c r="A819" s="4">
        <v>4</v>
      </c>
      <c r="B819" s="5">
        <v>3</v>
      </c>
      <c r="C819" s="6">
        <v>38752</v>
      </c>
      <c r="D819" s="7">
        <v>2976</v>
      </c>
      <c r="E819" s="8">
        <f>VLOOKUP(B819,T.productos!$A$1:$E$15,4,0)</f>
        <v>1.94</v>
      </c>
      <c r="F819" s="8">
        <f>VLOOKUP(B819,T.productos!$A$1:$E$15,5,0)</f>
        <v>1.89</v>
      </c>
      <c r="G819" s="9">
        <f t="shared" si="12"/>
        <v>2.5773195876288658E-2</v>
      </c>
    </row>
    <row r="820" spans="1:7" x14ac:dyDescent="0.25">
      <c r="A820" s="4">
        <v>1</v>
      </c>
      <c r="B820" s="5">
        <v>4</v>
      </c>
      <c r="C820" s="6">
        <v>39727</v>
      </c>
      <c r="D820" s="7">
        <v>529</v>
      </c>
      <c r="E820" s="8">
        <f>VLOOKUP(B820,T.productos!$A$1:$E$15,4,0)</f>
        <v>0.61</v>
      </c>
      <c r="F820" s="8">
        <f>VLOOKUP(B820,T.productos!$A$1:$E$15,5,0)</f>
        <v>0.28999999999999998</v>
      </c>
      <c r="G820" s="9">
        <f t="shared" si="12"/>
        <v>0.52459016393442626</v>
      </c>
    </row>
    <row r="821" spans="1:7" x14ac:dyDescent="0.25">
      <c r="A821" s="4">
        <v>2</v>
      </c>
      <c r="B821" s="5">
        <v>7</v>
      </c>
      <c r="C821" s="6">
        <v>38036</v>
      </c>
      <c r="D821" s="7">
        <v>2317</v>
      </c>
      <c r="E821" s="8">
        <f>VLOOKUP(B821,T.productos!$A$1:$E$15,4,0)</f>
        <v>0.97</v>
      </c>
      <c r="F821" s="8">
        <f>VLOOKUP(B821,T.productos!$A$1:$E$15,5,0)</f>
        <v>0.19</v>
      </c>
      <c r="G821" s="9">
        <f t="shared" si="12"/>
        <v>0.80412371134020622</v>
      </c>
    </row>
    <row r="822" spans="1:7" x14ac:dyDescent="0.25">
      <c r="A822" s="4">
        <v>5</v>
      </c>
      <c r="B822" s="5">
        <v>9</v>
      </c>
      <c r="C822" s="6">
        <v>38983</v>
      </c>
      <c r="D822" s="7">
        <v>2331</v>
      </c>
      <c r="E822" s="8">
        <f>VLOOKUP(B822,T.productos!$A$1:$E$15,4,0)</f>
        <v>1.21</v>
      </c>
      <c r="F822" s="8">
        <f>VLOOKUP(B822,T.productos!$A$1:$E$15,5,0)</f>
        <v>0.36</v>
      </c>
      <c r="G822" s="9">
        <f t="shared" si="12"/>
        <v>0.7024793388429752</v>
      </c>
    </row>
    <row r="823" spans="1:7" x14ac:dyDescent="0.25">
      <c r="A823" s="4">
        <v>3</v>
      </c>
      <c r="B823" s="5">
        <v>7</v>
      </c>
      <c r="C823" s="6">
        <v>39892</v>
      </c>
      <c r="D823" s="7">
        <v>732</v>
      </c>
      <c r="E823" s="8">
        <f>VLOOKUP(B823,T.productos!$A$1:$E$15,4,0)</f>
        <v>0.97</v>
      </c>
      <c r="F823" s="8">
        <f>VLOOKUP(B823,T.productos!$A$1:$E$15,5,0)</f>
        <v>0.19</v>
      </c>
      <c r="G823" s="9">
        <f t="shared" si="12"/>
        <v>0.80412371134020622</v>
      </c>
    </row>
    <row r="824" spans="1:7" x14ac:dyDescent="0.25">
      <c r="A824" s="4">
        <v>3</v>
      </c>
      <c r="B824" s="5">
        <v>13</v>
      </c>
      <c r="C824" s="6">
        <v>38442</v>
      </c>
      <c r="D824" s="7">
        <v>1731</v>
      </c>
      <c r="E824" s="8">
        <f>VLOOKUP(B824,T.productos!$A$1:$E$15,4,0)</f>
        <v>0.24</v>
      </c>
      <c r="F824" s="8">
        <f>VLOOKUP(B824,T.productos!$A$1:$E$15,5,0)</f>
        <v>0.12</v>
      </c>
      <c r="G824" s="9">
        <f t="shared" si="12"/>
        <v>0.5</v>
      </c>
    </row>
    <row r="825" spans="1:7" x14ac:dyDescent="0.25">
      <c r="A825" s="4">
        <v>2</v>
      </c>
      <c r="B825" s="5">
        <v>7</v>
      </c>
      <c r="C825" s="6">
        <v>38543</v>
      </c>
      <c r="D825" s="7">
        <v>2245</v>
      </c>
      <c r="E825" s="8">
        <f>VLOOKUP(B825,T.productos!$A$1:$E$15,4,0)</f>
        <v>0.97</v>
      </c>
      <c r="F825" s="8">
        <f>VLOOKUP(B825,T.productos!$A$1:$E$15,5,0)</f>
        <v>0.19</v>
      </c>
      <c r="G825" s="9">
        <f t="shared" si="12"/>
        <v>0.80412371134020622</v>
      </c>
    </row>
    <row r="826" spans="1:7" x14ac:dyDescent="0.25">
      <c r="A826" s="4">
        <v>2</v>
      </c>
      <c r="B826" s="5">
        <v>6</v>
      </c>
      <c r="C826" s="6">
        <v>38507</v>
      </c>
      <c r="D826" s="7">
        <v>989</v>
      </c>
      <c r="E826" s="8">
        <f>VLOOKUP(B826,T.productos!$A$1:$E$15,4,0)</f>
        <v>2.42</v>
      </c>
      <c r="F826" s="8">
        <f>VLOOKUP(B826,T.productos!$A$1:$E$15,5,0)</f>
        <v>2.2799999999999998</v>
      </c>
      <c r="G826" s="9">
        <f t="shared" si="12"/>
        <v>5.7851239669421489E-2</v>
      </c>
    </row>
    <row r="827" spans="1:7" x14ac:dyDescent="0.25">
      <c r="A827" s="4">
        <v>3</v>
      </c>
      <c r="B827" s="5">
        <v>10</v>
      </c>
      <c r="C827" s="6">
        <v>38150</v>
      </c>
      <c r="D827" s="7">
        <v>873</v>
      </c>
      <c r="E827" s="8">
        <f>VLOOKUP(B827,T.productos!$A$1:$E$15,4,0)</f>
        <v>0.61</v>
      </c>
      <c r="F827" s="8">
        <f>VLOOKUP(B827,T.productos!$A$1:$E$15,5,0)</f>
        <v>0.4</v>
      </c>
      <c r="G827" s="9">
        <f t="shared" si="12"/>
        <v>0.34426229508196721</v>
      </c>
    </row>
    <row r="828" spans="1:7" x14ac:dyDescent="0.25">
      <c r="A828" s="4">
        <v>3</v>
      </c>
      <c r="B828" s="5">
        <v>8</v>
      </c>
      <c r="C828" s="6">
        <v>38093</v>
      </c>
      <c r="D828" s="7">
        <v>2516</v>
      </c>
      <c r="E828" s="8">
        <f>VLOOKUP(B828,T.productos!$A$1:$E$15,4,0)</f>
        <v>3.63</v>
      </c>
      <c r="F828" s="8">
        <f>VLOOKUP(B828,T.productos!$A$1:$E$15,5,0)</f>
        <v>3.35</v>
      </c>
      <c r="G828" s="9">
        <f t="shared" si="12"/>
        <v>7.7134986225895319E-2</v>
      </c>
    </row>
    <row r="829" spans="1:7" x14ac:dyDescent="0.25">
      <c r="A829" s="4">
        <v>3</v>
      </c>
      <c r="B829" s="5">
        <v>3</v>
      </c>
      <c r="C829" s="6">
        <v>39471</v>
      </c>
      <c r="D829" s="7">
        <v>2127</v>
      </c>
      <c r="E829" s="8">
        <f>VLOOKUP(B829,T.productos!$A$1:$E$15,4,0)</f>
        <v>1.94</v>
      </c>
      <c r="F829" s="8">
        <f>VLOOKUP(B829,T.productos!$A$1:$E$15,5,0)</f>
        <v>1.89</v>
      </c>
      <c r="G829" s="9">
        <f t="shared" si="12"/>
        <v>2.5773195876288658E-2</v>
      </c>
    </row>
    <row r="830" spans="1:7" x14ac:dyDescent="0.25">
      <c r="A830" s="4">
        <v>4</v>
      </c>
      <c r="B830" s="5">
        <v>6</v>
      </c>
      <c r="C830" s="6">
        <v>39913</v>
      </c>
      <c r="D830" s="7">
        <v>1359</v>
      </c>
      <c r="E830" s="8">
        <f>VLOOKUP(B830,T.productos!$A$1:$E$15,4,0)</f>
        <v>2.42</v>
      </c>
      <c r="F830" s="8">
        <f>VLOOKUP(B830,T.productos!$A$1:$E$15,5,0)</f>
        <v>2.2799999999999998</v>
      </c>
      <c r="G830" s="9">
        <f t="shared" si="12"/>
        <v>5.7851239669421489E-2</v>
      </c>
    </row>
    <row r="831" spans="1:7" x14ac:dyDescent="0.25">
      <c r="A831" s="4">
        <v>5</v>
      </c>
      <c r="B831" s="5">
        <v>6</v>
      </c>
      <c r="C831" s="6">
        <v>39512</v>
      </c>
      <c r="D831" s="7">
        <v>1823</v>
      </c>
      <c r="E831" s="8">
        <f>VLOOKUP(B831,T.productos!$A$1:$E$15,4,0)</f>
        <v>2.42</v>
      </c>
      <c r="F831" s="8">
        <f>VLOOKUP(B831,T.productos!$A$1:$E$15,5,0)</f>
        <v>2.2799999999999998</v>
      </c>
      <c r="G831" s="9">
        <f t="shared" si="12"/>
        <v>5.7851239669421489E-2</v>
      </c>
    </row>
    <row r="832" spans="1:7" x14ac:dyDescent="0.25">
      <c r="A832" s="4">
        <v>3</v>
      </c>
      <c r="B832" s="5">
        <v>5</v>
      </c>
      <c r="C832" s="6">
        <v>38589</v>
      </c>
      <c r="D832" s="7">
        <v>1153</v>
      </c>
      <c r="E832" s="8">
        <f>VLOOKUP(B832,T.productos!$A$1:$E$15,4,0)</f>
        <v>2.54</v>
      </c>
      <c r="F832" s="8">
        <f>VLOOKUP(B832,T.productos!$A$1:$E$15,5,0)</f>
        <v>2.2799999999999998</v>
      </c>
      <c r="G832" s="9">
        <f t="shared" si="12"/>
        <v>0.10236220472440945</v>
      </c>
    </row>
    <row r="833" spans="1:7" x14ac:dyDescent="0.25">
      <c r="A833" s="4">
        <v>4</v>
      </c>
      <c r="B833" s="5">
        <v>8</v>
      </c>
      <c r="C833" s="6">
        <v>39443</v>
      </c>
      <c r="D833" s="7">
        <v>1204</v>
      </c>
      <c r="E833" s="8">
        <f>VLOOKUP(B833,T.productos!$A$1:$E$15,4,0)</f>
        <v>3.63</v>
      </c>
      <c r="F833" s="8">
        <f>VLOOKUP(B833,T.productos!$A$1:$E$15,5,0)</f>
        <v>3.35</v>
      </c>
      <c r="G833" s="9">
        <f t="shared" si="12"/>
        <v>7.7134986225895319E-2</v>
      </c>
    </row>
    <row r="834" spans="1:7" x14ac:dyDescent="0.25">
      <c r="A834" s="4">
        <v>2</v>
      </c>
      <c r="B834" s="5">
        <v>3</v>
      </c>
      <c r="C834" s="6">
        <v>38774</v>
      </c>
      <c r="D834" s="7">
        <v>2609</v>
      </c>
      <c r="E834" s="8">
        <f>VLOOKUP(B834,T.productos!$A$1:$E$15,4,0)</f>
        <v>1.94</v>
      </c>
      <c r="F834" s="8">
        <f>VLOOKUP(B834,T.productos!$A$1:$E$15,5,0)</f>
        <v>1.89</v>
      </c>
      <c r="G834" s="9">
        <f t="shared" ref="G834:G897" si="13">margen(D834,E834,F834)</f>
        <v>2.5773195876288658E-2</v>
      </c>
    </row>
    <row r="835" spans="1:7" x14ac:dyDescent="0.25">
      <c r="A835" s="4">
        <v>4</v>
      </c>
      <c r="B835" s="5">
        <v>7</v>
      </c>
      <c r="C835" s="6">
        <v>38821</v>
      </c>
      <c r="D835" s="7">
        <v>1939</v>
      </c>
      <c r="E835" s="8">
        <f>VLOOKUP(B835,T.productos!$A$1:$E$15,4,0)</f>
        <v>0.97</v>
      </c>
      <c r="F835" s="8">
        <f>VLOOKUP(B835,T.productos!$A$1:$E$15,5,0)</f>
        <v>0.19</v>
      </c>
      <c r="G835" s="9">
        <f t="shared" si="13"/>
        <v>0.80412371134020622</v>
      </c>
    </row>
    <row r="836" spans="1:7" x14ac:dyDescent="0.25">
      <c r="A836" s="4">
        <v>5</v>
      </c>
      <c r="B836" s="5">
        <v>10</v>
      </c>
      <c r="C836" s="6">
        <v>39785</v>
      </c>
      <c r="D836" s="7">
        <v>1496</v>
      </c>
      <c r="E836" s="8">
        <f>VLOOKUP(B836,T.productos!$A$1:$E$15,4,0)</f>
        <v>0.61</v>
      </c>
      <c r="F836" s="8">
        <f>VLOOKUP(B836,T.productos!$A$1:$E$15,5,0)</f>
        <v>0.4</v>
      </c>
      <c r="G836" s="9">
        <f t="shared" si="13"/>
        <v>0.34426229508196721</v>
      </c>
    </row>
    <row r="837" spans="1:7" x14ac:dyDescent="0.25">
      <c r="A837" s="4">
        <v>3</v>
      </c>
      <c r="B837" s="5">
        <v>2</v>
      </c>
      <c r="C837" s="6">
        <v>39558</v>
      </c>
      <c r="D837" s="7">
        <v>2525</v>
      </c>
      <c r="E837" s="8">
        <f>VLOOKUP(B837,T.productos!$A$1:$E$15,4,0)</f>
        <v>1.63</v>
      </c>
      <c r="F837" s="8">
        <f>VLOOKUP(B837,T.productos!$A$1:$E$15,5,0)</f>
        <v>1.42</v>
      </c>
      <c r="G837" s="9">
        <f t="shared" si="13"/>
        <v>0.12883435582822086</v>
      </c>
    </row>
    <row r="838" spans="1:7" x14ac:dyDescent="0.25">
      <c r="A838" s="4">
        <v>3</v>
      </c>
      <c r="B838" s="5">
        <v>6</v>
      </c>
      <c r="C838" s="6">
        <v>39304</v>
      </c>
      <c r="D838" s="7">
        <v>2993</v>
      </c>
      <c r="E838" s="8">
        <f>VLOOKUP(B838,T.productos!$A$1:$E$15,4,0)</f>
        <v>2.42</v>
      </c>
      <c r="F838" s="8">
        <f>VLOOKUP(B838,T.productos!$A$1:$E$15,5,0)</f>
        <v>2.2799999999999998</v>
      </c>
      <c r="G838" s="9">
        <f t="shared" si="13"/>
        <v>5.7851239669421489E-2</v>
      </c>
    </row>
    <row r="839" spans="1:7" x14ac:dyDescent="0.25">
      <c r="A839" s="4">
        <v>3</v>
      </c>
      <c r="B839" s="5">
        <v>10</v>
      </c>
      <c r="C839" s="6">
        <v>38725</v>
      </c>
      <c r="D839" s="7">
        <v>1151</v>
      </c>
      <c r="E839" s="8">
        <f>VLOOKUP(B839,T.productos!$A$1:$E$15,4,0)</f>
        <v>0.61</v>
      </c>
      <c r="F839" s="8">
        <f>VLOOKUP(B839,T.productos!$A$1:$E$15,5,0)</f>
        <v>0.4</v>
      </c>
      <c r="G839" s="9">
        <f t="shared" si="13"/>
        <v>0.34426229508196721</v>
      </c>
    </row>
    <row r="840" spans="1:7" x14ac:dyDescent="0.25">
      <c r="A840" s="4">
        <v>1</v>
      </c>
      <c r="B840" s="5">
        <v>13</v>
      </c>
      <c r="C840" s="6">
        <v>38095</v>
      </c>
      <c r="D840" s="7">
        <v>313</v>
      </c>
      <c r="E840" s="8">
        <f>VLOOKUP(B840,T.productos!$A$1:$E$15,4,0)</f>
        <v>0.24</v>
      </c>
      <c r="F840" s="8">
        <f>VLOOKUP(B840,T.productos!$A$1:$E$15,5,0)</f>
        <v>0.12</v>
      </c>
      <c r="G840" s="9">
        <f t="shared" si="13"/>
        <v>0.5</v>
      </c>
    </row>
    <row r="841" spans="1:7" x14ac:dyDescent="0.25">
      <c r="A841" s="4">
        <v>1</v>
      </c>
      <c r="B841" s="5">
        <v>12</v>
      </c>
      <c r="C841" s="6">
        <v>39073</v>
      </c>
      <c r="D841" s="7">
        <v>371</v>
      </c>
      <c r="E841" s="8">
        <f>VLOOKUP(B841,T.productos!$A$1:$E$15,4,0)</f>
        <v>2.42</v>
      </c>
      <c r="F841" s="8">
        <f>VLOOKUP(B841,T.productos!$A$1:$E$15,5,0)</f>
        <v>1.68</v>
      </c>
      <c r="G841" s="9">
        <f t="shared" si="13"/>
        <v>0.30578512396694213</v>
      </c>
    </row>
    <row r="842" spans="1:7" x14ac:dyDescent="0.25">
      <c r="A842" s="4">
        <v>1</v>
      </c>
      <c r="B842" s="5">
        <v>3</v>
      </c>
      <c r="C842" s="6">
        <v>39142</v>
      </c>
      <c r="D842" s="7">
        <v>1480</v>
      </c>
      <c r="E842" s="8">
        <f>VLOOKUP(B842,T.productos!$A$1:$E$15,4,0)</f>
        <v>1.94</v>
      </c>
      <c r="F842" s="8">
        <f>VLOOKUP(B842,T.productos!$A$1:$E$15,5,0)</f>
        <v>1.89</v>
      </c>
      <c r="G842" s="9">
        <f t="shared" si="13"/>
        <v>2.5773195876288658E-2</v>
      </c>
    </row>
    <row r="843" spans="1:7" x14ac:dyDescent="0.25">
      <c r="A843" s="4">
        <v>5</v>
      </c>
      <c r="B843" s="5">
        <v>2</v>
      </c>
      <c r="C843" s="6">
        <v>39659</v>
      </c>
      <c r="D843" s="7">
        <v>1239</v>
      </c>
      <c r="E843" s="8">
        <f>VLOOKUP(B843,T.productos!$A$1:$E$15,4,0)</f>
        <v>1.63</v>
      </c>
      <c r="F843" s="8">
        <f>VLOOKUP(B843,T.productos!$A$1:$E$15,5,0)</f>
        <v>1.42</v>
      </c>
      <c r="G843" s="9">
        <f t="shared" si="13"/>
        <v>0.12883435582822086</v>
      </c>
    </row>
    <row r="844" spans="1:7" x14ac:dyDescent="0.25">
      <c r="A844" s="4">
        <v>5</v>
      </c>
      <c r="B844" s="5">
        <v>10</v>
      </c>
      <c r="C844" s="6">
        <v>39941</v>
      </c>
      <c r="D844" s="7">
        <v>2177</v>
      </c>
      <c r="E844" s="8">
        <f>VLOOKUP(B844,T.productos!$A$1:$E$15,4,0)</f>
        <v>0.61</v>
      </c>
      <c r="F844" s="8">
        <f>VLOOKUP(B844,T.productos!$A$1:$E$15,5,0)</f>
        <v>0.4</v>
      </c>
      <c r="G844" s="9">
        <f t="shared" si="13"/>
        <v>0.34426229508196721</v>
      </c>
    </row>
    <row r="845" spans="1:7" x14ac:dyDescent="0.25">
      <c r="A845" s="4">
        <v>5</v>
      </c>
      <c r="B845" s="5">
        <v>6</v>
      </c>
      <c r="C845" s="6">
        <v>39284</v>
      </c>
      <c r="D845" s="7">
        <v>2397</v>
      </c>
      <c r="E845" s="8">
        <f>VLOOKUP(B845,T.productos!$A$1:$E$15,4,0)</f>
        <v>2.42</v>
      </c>
      <c r="F845" s="8">
        <f>VLOOKUP(B845,T.productos!$A$1:$E$15,5,0)</f>
        <v>2.2799999999999998</v>
      </c>
      <c r="G845" s="9">
        <f t="shared" si="13"/>
        <v>5.7851239669421489E-2</v>
      </c>
    </row>
    <row r="846" spans="1:7" x14ac:dyDescent="0.25">
      <c r="A846" s="4">
        <v>4</v>
      </c>
      <c r="B846" s="5">
        <v>10</v>
      </c>
      <c r="C846" s="6">
        <v>38756</v>
      </c>
      <c r="D846" s="7">
        <v>2455</v>
      </c>
      <c r="E846" s="8">
        <f>VLOOKUP(B846,T.productos!$A$1:$E$15,4,0)</f>
        <v>0.61</v>
      </c>
      <c r="F846" s="8">
        <f>VLOOKUP(B846,T.productos!$A$1:$E$15,5,0)</f>
        <v>0.4</v>
      </c>
      <c r="G846" s="9">
        <f t="shared" si="13"/>
        <v>0.34426229508196721</v>
      </c>
    </row>
    <row r="847" spans="1:7" x14ac:dyDescent="0.25">
      <c r="A847" s="4">
        <v>3</v>
      </c>
      <c r="B847" s="5">
        <v>8</v>
      </c>
      <c r="C847" s="6">
        <v>38871</v>
      </c>
      <c r="D847" s="7">
        <v>1794</v>
      </c>
      <c r="E847" s="8">
        <f>VLOOKUP(B847,T.productos!$A$1:$E$15,4,0)</f>
        <v>3.63</v>
      </c>
      <c r="F847" s="8">
        <f>VLOOKUP(B847,T.productos!$A$1:$E$15,5,0)</f>
        <v>3.35</v>
      </c>
      <c r="G847" s="9">
        <f t="shared" si="13"/>
        <v>7.7134986225895319E-2</v>
      </c>
    </row>
    <row r="848" spans="1:7" x14ac:dyDescent="0.25">
      <c r="A848" s="4">
        <v>1</v>
      </c>
      <c r="B848" s="5">
        <v>14</v>
      </c>
      <c r="C848" s="6">
        <v>39017</v>
      </c>
      <c r="D848" s="7">
        <v>1034</v>
      </c>
      <c r="E848" s="8">
        <f>VLOOKUP(B848,T.productos!$A$1:$E$15,4,0)</f>
        <v>3.63</v>
      </c>
      <c r="F848" s="8">
        <f>VLOOKUP(B848,T.productos!$A$1:$E$15,5,0)</f>
        <v>3.2</v>
      </c>
      <c r="G848" s="9">
        <f t="shared" si="13"/>
        <v>0.1184573002754821</v>
      </c>
    </row>
    <row r="849" spans="1:7" x14ac:dyDescent="0.25">
      <c r="A849" s="4">
        <v>1</v>
      </c>
      <c r="B849" s="5">
        <v>10</v>
      </c>
      <c r="C849" s="6">
        <v>38142</v>
      </c>
      <c r="D849" s="7">
        <v>2510</v>
      </c>
      <c r="E849" s="8">
        <f>VLOOKUP(B849,T.productos!$A$1:$E$15,4,0)</f>
        <v>0.61</v>
      </c>
      <c r="F849" s="8">
        <f>VLOOKUP(B849,T.productos!$A$1:$E$15,5,0)</f>
        <v>0.4</v>
      </c>
      <c r="G849" s="9">
        <f t="shared" si="13"/>
        <v>0.34426229508196721</v>
      </c>
    </row>
    <row r="850" spans="1:7" x14ac:dyDescent="0.25">
      <c r="A850" s="4">
        <v>2</v>
      </c>
      <c r="B850" s="5">
        <v>2</v>
      </c>
      <c r="C850" s="6">
        <v>38116</v>
      </c>
      <c r="D850" s="7">
        <v>1638</v>
      </c>
      <c r="E850" s="8">
        <f>VLOOKUP(B850,T.productos!$A$1:$E$15,4,0)</f>
        <v>1.63</v>
      </c>
      <c r="F850" s="8">
        <f>VLOOKUP(B850,T.productos!$A$1:$E$15,5,0)</f>
        <v>1.42</v>
      </c>
      <c r="G850" s="9">
        <f t="shared" si="13"/>
        <v>0.12883435582822086</v>
      </c>
    </row>
    <row r="851" spans="1:7" x14ac:dyDescent="0.25">
      <c r="A851" s="4">
        <v>3</v>
      </c>
      <c r="B851" s="5">
        <v>9</v>
      </c>
      <c r="C851" s="6">
        <v>38836</v>
      </c>
      <c r="D851" s="7">
        <v>2811</v>
      </c>
      <c r="E851" s="8">
        <f>VLOOKUP(B851,T.productos!$A$1:$E$15,4,0)</f>
        <v>1.21</v>
      </c>
      <c r="F851" s="8">
        <f>VLOOKUP(B851,T.productos!$A$1:$E$15,5,0)</f>
        <v>0.36</v>
      </c>
      <c r="G851" s="9">
        <f t="shared" si="13"/>
        <v>0.7024793388429752</v>
      </c>
    </row>
    <row r="852" spans="1:7" x14ac:dyDescent="0.25">
      <c r="A852" s="4">
        <v>4</v>
      </c>
      <c r="B852" s="5">
        <v>12</v>
      </c>
      <c r="C852" s="6">
        <v>38304</v>
      </c>
      <c r="D852" s="7">
        <v>352</v>
      </c>
      <c r="E852" s="8">
        <f>VLOOKUP(B852,T.productos!$A$1:$E$15,4,0)</f>
        <v>2.42</v>
      </c>
      <c r="F852" s="8">
        <f>VLOOKUP(B852,T.productos!$A$1:$E$15,5,0)</f>
        <v>1.68</v>
      </c>
      <c r="G852" s="9">
        <f t="shared" si="13"/>
        <v>0.30578512396694213</v>
      </c>
    </row>
    <row r="853" spans="1:7" x14ac:dyDescent="0.25">
      <c r="A853" s="4">
        <v>3</v>
      </c>
      <c r="B853" s="5">
        <v>8</v>
      </c>
      <c r="C853" s="6">
        <v>38675</v>
      </c>
      <c r="D853" s="7">
        <v>1780</v>
      </c>
      <c r="E853" s="8">
        <f>VLOOKUP(B853,T.productos!$A$1:$E$15,4,0)</f>
        <v>3.63</v>
      </c>
      <c r="F853" s="8">
        <f>VLOOKUP(B853,T.productos!$A$1:$E$15,5,0)</f>
        <v>3.35</v>
      </c>
      <c r="G853" s="9">
        <f t="shared" si="13"/>
        <v>7.7134986225895319E-2</v>
      </c>
    </row>
    <row r="854" spans="1:7" x14ac:dyDescent="0.25">
      <c r="A854" s="4">
        <v>1</v>
      </c>
      <c r="B854" s="5">
        <v>8</v>
      </c>
      <c r="C854" s="6">
        <v>39374</v>
      </c>
      <c r="D854" s="7">
        <v>2572</v>
      </c>
      <c r="E854" s="8">
        <f>VLOOKUP(B854,T.productos!$A$1:$E$15,4,0)</f>
        <v>3.63</v>
      </c>
      <c r="F854" s="8">
        <f>VLOOKUP(B854,T.productos!$A$1:$E$15,5,0)</f>
        <v>3.35</v>
      </c>
      <c r="G854" s="9">
        <f t="shared" si="13"/>
        <v>7.7134986225895319E-2</v>
      </c>
    </row>
    <row r="855" spans="1:7" x14ac:dyDescent="0.25">
      <c r="A855" s="4">
        <v>3</v>
      </c>
      <c r="B855" s="5">
        <v>3</v>
      </c>
      <c r="C855" s="6">
        <v>39819</v>
      </c>
      <c r="D855" s="7">
        <v>2977</v>
      </c>
      <c r="E855" s="8">
        <f>VLOOKUP(B855,T.productos!$A$1:$E$15,4,0)</f>
        <v>1.94</v>
      </c>
      <c r="F855" s="8">
        <f>VLOOKUP(B855,T.productos!$A$1:$E$15,5,0)</f>
        <v>1.89</v>
      </c>
      <c r="G855" s="9">
        <f t="shared" si="13"/>
        <v>2.5773195876288658E-2</v>
      </c>
    </row>
    <row r="856" spans="1:7" x14ac:dyDescent="0.25">
      <c r="A856" s="4">
        <v>2</v>
      </c>
      <c r="B856" s="5">
        <v>6</v>
      </c>
      <c r="C856" s="6">
        <v>38235</v>
      </c>
      <c r="D856" s="7">
        <v>842</v>
      </c>
      <c r="E856" s="8">
        <f>VLOOKUP(B856,T.productos!$A$1:$E$15,4,0)</f>
        <v>2.42</v>
      </c>
      <c r="F856" s="8">
        <f>VLOOKUP(B856,T.productos!$A$1:$E$15,5,0)</f>
        <v>2.2799999999999998</v>
      </c>
      <c r="G856" s="9">
        <f t="shared" si="13"/>
        <v>5.7851239669421489E-2</v>
      </c>
    </row>
    <row r="857" spans="1:7" x14ac:dyDescent="0.25">
      <c r="A857" s="4">
        <v>4</v>
      </c>
      <c r="B857" s="5">
        <v>10</v>
      </c>
      <c r="C857" s="6">
        <v>38869</v>
      </c>
      <c r="D857" s="7">
        <v>1780</v>
      </c>
      <c r="E857" s="8">
        <f>VLOOKUP(B857,T.productos!$A$1:$E$15,4,0)</f>
        <v>0.61</v>
      </c>
      <c r="F857" s="8">
        <f>VLOOKUP(B857,T.productos!$A$1:$E$15,5,0)</f>
        <v>0.4</v>
      </c>
      <c r="G857" s="9">
        <f t="shared" si="13"/>
        <v>0.34426229508196721</v>
      </c>
    </row>
    <row r="858" spans="1:7" x14ac:dyDescent="0.25">
      <c r="A858" s="4">
        <v>4</v>
      </c>
      <c r="B858" s="5">
        <v>7</v>
      </c>
      <c r="C858" s="6">
        <v>39908</v>
      </c>
      <c r="D858" s="7">
        <v>1932</v>
      </c>
      <c r="E858" s="8">
        <f>VLOOKUP(B858,T.productos!$A$1:$E$15,4,0)</f>
        <v>0.97</v>
      </c>
      <c r="F858" s="8">
        <f>VLOOKUP(B858,T.productos!$A$1:$E$15,5,0)</f>
        <v>0.19</v>
      </c>
      <c r="G858" s="9">
        <f t="shared" si="13"/>
        <v>0.80412371134020622</v>
      </c>
    </row>
    <row r="859" spans="1:7" x14ac:dyDescent="0.25">
      <c r="A859" s="4">
        <v>1</v>
      </c>
      <c r="B859" s="5">
        <v>10</v>
      </c>
      <c r="C859" s="6">
        <v>39406</v>
      </c>
      <c r="D859" s="7">
        <v>688</v>
      </c>
      <c r="E859" s="8">
        <f>VLOOKUP(B859,T.productos!$A$1:$E$15,4,0)</f>
        <v>0.61</v>
      </c>
      <c r="F859" s="8">
        <f>VLOOKUP(B859,T.productos!$A$1:$E$15,5,0)</f>
        <v>0.4</v>
      </c>
      <c r="G859" s="9">
        <f t="shared" si="13"/>
        <v>0.34426229508196721</v>
      </c>
    </row>
    <row r="860" spans="1:7" x14ac:dyDescent="0.25">
      <c r="A860" s="4">
        <v>3</v>
      </c>
      <c r="B860" s="5">
        <v>7</v>
      </c>
      <c r="C860" s="6">
        <v>38322</v>
      </c>
      <c r="D860" s="7">
        <v>2766</v>
      </c>
      <c r="E860" s="8">
        <f>VLOOKUP(B860,T.productos!$A$1:$E$15,4,0)</f>
        <v>0.97</v>
      </c>
      <c r="F860" s="8">
        <f>VLOOKUP(B860,T.productos!$A$1:$E$15,5,0)</f>
        <v>0.19</v>
      </c>
      <c r="G860" s="9">
        <f t="shared" si="13"/>
        <v>0.80412371134020622</v>
      </c>
    </row>
    <row r="861" spans="1:7" x14ac:dyDescent="0.25">
      <c r="A861" s="4">
        <v>5</v>
      </c>
      <c r="B861" s="5">
        <v>8</v>
      </c>
      <c r="C861" s="6">
        <v>39777</v>
      </c>
      <c r="D861" s="7">
        <v>2662</v>
      </c>
      <c r="E861" s="8">
        <f>VLOOKUP(B861,T.productos!$A$1:$E$15,4,0)</f>
        <v>3.63</v>
      </c>
      <c r="F861" s="8">
        <f>VLOOKUP(B861,T.productos!$A$1:$E$15,5,0)</f>
        <v>3.35</v>
      </c>
      <c r="G861" s="9">
        <f t="shared" si="13"/>
        <v>7.7134986225895319E-2</v>
      </c>
    </row>
    <row r="862" spans="1:7" x14ac:dyDescent="0.25">
      <c r="A862" s="4">
        <v>4</v>
      </c>
      <c r="B862" s="5">
        <v>8</v>
      </c>
      <c r="C862" s="6">
        <v>38289</v>
      </c>
      <c r="D862" s="7">
        <v>1631</v>
      </c>
      <c r="E862" s="8">
        <f>VLOOKUP(B862,T.productos!$A$1:$E$15,4,0)</f>
        <v>3.63</v>
      </c>
      <c r="F862" s="8">
        <f>VLOOKUP(B862,T.productos!$A$1:$E$15,5,0)</f>
        <v>3.35</v>
      </c>
      <c r="G862" s="9">
        <f t="shared" si="13"/>
        <v>7.7134986225895319E-2</v>
      </c>
    </row>
    <row r="863" spans="1:7" x14ac:dyDescent="0.25">
      <c r="A863" s="4">
        <v>4</v>
      </c>
      <c r="B863" s="5">
        <v>3</v>
      </c>
      <c r="C863" s="6">
        <v>39926</v>
      </c>
      <c r="D863" s="7">
        <v>2634</v>
      </c>
      <c r="E863" s="8">
        <f>VLOOKUP(B863,T.productos!$A$1:$E$15,4,0)</f>
        <v>1.94</v>
      </c>
      <c r="F863" s="8">
        <f>VLOOKUP(B863,T.productos!$A$1:$E$15,5,0)</f>
        <v>1.89</v>
      </c>
      <c r="G863" s="9">
        <f t="shared" si="13"/>
        <v>2.5773195876288658E-2</v>
      </c>
    </row>
    <row r="864" spans="1:7" x14ac:dyDescent="0.25">
      <c r="A864" s="4">
        <v>5</v>
      </c>
      <c r="B864" s="5">
        <v>9</v>
      </c>
      <c r="C864" s="6">
        <v>38091</v>
      </c>
      <c r="D864" s="7">
        <v>1131</v>
      </c>
      <c r="E864" s="8">
        <f>VLOOKUP(B864,T.productos!$A$1:$E$15,4,0)</f>
        <v>1.21</v>
      </c>
      <c r="F864" s="8">
        <f>VLOOKUP(B864,T.productos!$A$1:$E$15,5,0)</f>
        <v>0.36</v>
      </c>
      <c r="G864" s="9">
        <f t="shared" si="13"/>
        <v>0.7024793388429752</v>
      </c>
    </row>
    <row r="865" spans="1:7" x14ac:dyDescent="0.25">
      <c r="A865" s="4">
        <v>5</v>
      </c>
      <c r="B865" s="5">
        <v>13</v>
      </c>
      <c r="C865" s="6">
        <v>38989</v>
      </c>
      <c r="D865" s="7">
        <v>2462</v>
      </c>
      <c r="E865" s="8">
        <f>VLOOKUP(B865,T.productos!$A$1:$E$15,4,0)</f>
        <v>0.24</v>
      </c>
      <c r="F865" s="8">
        <f>VLOOKUP(B865,T.productos!$A$1:$E$15,5,0)</f>
        <v>0.12</v>
      </c>
      <c r="G865" s="9">
        <f t="shared" si="13"/>
        <v>0.5</v>
      </c>
    </row>
    <row r="866" spans="1:7" x14ac:dyDescent="0.25">
      <c r="A866" s="4">
        <v>5</v>
      </c>
      <c r="B866" s="5">
        <v>7</v>
      </c>
      <c r="C866" s="6">
        <v>38389</v>
      </c>
      <c r="D866" s="7">
        <v>1987</v>
      </c>
      <c r="E866" s="8">
        <f>VLOOKUP(B866,T.productos!$A$1:$E$15,4,0)</f>
        <v>0.97</v>
      </c>
      <c r="F866" s="8">
        <f>VLOOKUP(B866,T.productos!$A$1:$E$15,5,0)</f>
        <v>0.19</v>
      </c>
      <c r="G866" s="9">
        <f t="shared" si="13"/>
        <v>0.80412371134020622</v>
      </c>
    </row>
    <row r="867" spans="1:7" x14ac:dyDescent="0.25">
      <c r="A867" s="4">
        <v>1</v>
      </c>
      <c r="B867" s="5">
        <v>4</v>
      </c>
      <c r="C867" s="6">
        <v>38009</v>
      </c>
      <c r="D867" s="7">
        <v>1393</v>
      </c>
      <c r="E867" s="8">
        <f>VLOOKUP(B867,T.productos!$A$1:$E$15,4,0)</f>
        <v>0.61</v>
      </c>
      <c r="F867" s="8">
        <f>VLOOKUP(B867,T.productos!$A$1:$E$15,5,0)</f>
        <v>0.28999999999999998</v>
      </c>
      <c r="G867" s="9">
        <f t="shared" si="13"/>
        <v>0.52459016393442626</v>
      </c>
    </row>
    <row r="868" spans="1:7" x14ac:dyDescent="0.25">
      <c r="A868" s="4">
        <v>2</v>
      </c>
      <c r="B868" s="5">
        <v>11</v>
      </c>
      <c r="C868" s="6">
        <v>39125</v>
      </c>
      <c r="D868" s="7">
        <v>2916</v>
      </c>
      <c r="E868" s="8">
        <f>VLOOKUP(B868,T.productos!$A$1:$E$15,4,0)</f>
        <v>1.21</v>
      </c>
      <c r="F868" s="8">
        <f>VLOOKUP(B868,T.productos!$A$1:$E$15,5,0)</f>
        <v>0.72</v>
      </c>
      <c r="G868" s="9">
        <f t="shared" si="13"/>
        <v>0.4049586776859504</v>
      </c>
    </row>
    <row r="869" spans="1:7" x14ac:dyDescent="0.25">
      <c r="A869" s="4">
        <v>3</v>
      </c>
      <c r="B869" s="5">
        <v>7</v>
      </c>
      <c r="C869" s="6">
        <v>38280</v>
      </c>
      <c r="D869" s="7">
        <v>667</v>
      </c>
      <c r="E869" s="8">
        <f>VLOOKUP(B869,T.productos!$A$1:$E$15,4,0)</f>
        <v>0.97</v>
      </c>
      <c r="F869" s="8">
        <f>VLOOKUP(B869,T.productos!$A$1:$E$15,5,0)</f>
        <v>0.19</v>
      </c>
      <c r="G869" s="9">
        <f t="shared" si="13"/>
        <v>0.80412371134020622</v>
      </c>
    </row>
    <row r="870" spans="1:7" x14ac:dyDescent="0.25">
      <c r="A870" s="4">
        <v>4</v>
      </c>
      <c r="B870" s="5">
        <v>12</v>
      </c>
      <c r="C870" s="6">
        <v>38935</v>
      </c>
      <c r="D870" s="7">
        <v>567</v>
      </c>
      <c r="E870" s="8">
        <f>VLOOKUP(B870,T.productos!$A$1:$E$15,4,0)</f>
        <v>2.42</v>
      </c>
      <c r="F870" s="8">
        <f>VLOOKUP(B870,T.productos!$A$1:$E$15,5,0)</f>
        <v>1.68</v>
      </c>
      <c r="G870" s="9">
        <f t="shared" si="13"/>
        <v>0.30578512396694213</v>
      </c>
    </row>
    <row r="871" spans="1:7" x14ac:dyDescent="0.25">
      <c r="A871" s="4">
        <v>4</v>
      </c>
      <c r="B871" s="5">
        <v>10</v>
      </c>
      <c r="C871" s="6">
        <v>38825</v>
      </c>
      <c r="D871" s="7">
        <v>1676</v>
      </c>
      <c r="E871" s="8">
        <f>VLOOKUP(B871,T.productos!$A$1:$E$15,4,0)</f>
        <v>0.61</v>
      </c>
      <c r="F871" s="8">
        <f>VLOOKUP(B871,T.productos!$A$1:$E$15,5,0)</f>
        <v>0.4</v>
      </c>
      <c r="G871" s="9">
        <f t="shared" si="13"/>
        <v>0.34426229508196721</v>
      </c>
    </row>
    <row r="872" spans="1:7" x14ac:dyDescent="0.25">
      <c r="A872" s="4">
        <v>5</v>
      </c>
      <c r="B872" s="5">
        <v>2</v>
      </c>
      <c r="C872" s="6">
        <v>38786</v>
      </c>
      <c r="D872" s="7">
        <v>1668</v>
      </c>
      <c r="E872" s="8">
        <f>VLOOKUP(B872,T.productos!$A$1:$E$15,4,0)</f>
        <v>1.63</v>
      </c>
      <c r="F872" s="8">
        <f>VLOOKUP(B872,T.productos!$A$1:$E$15,5,0)</f>
        <v>1.42</v>
      </c>
      <c r="G872" s="9">
        <f t="shared" si="13"/>
        <v>0.12883435582822086</v>
      </c>
    </row>
    <row r="873" spans="1:7" x14ac:dyDescent="0.25">
      <c r="A873" s="4">
        <v>1</v>
      </c>
      <c r="B873" s="5">
        <v>4</v>
      </c>
      <c r="C873" s="6">
        <v>39215</v>
      </c>
      <c r="D873" s="7">
        <v>573</v>
      </c>
      <c r="E873" s="8">
        <f>VLOOKUP(B873,T.productos!$A$1:$E$15,4,0)</f>
        <v>0.61</v>
      </c>
      <c r="F873" s="8">
        <f>VLOOKUP(B873,T.productos!$A$1:$E$15,5,0)</f>
        <v>0.28999999999999998</v>
      </c>
      <c r="G873" s="9">
        <f t="shared" si="13"/>
        <v>0.52459016393442626</v>
      </c>
    </row>
    <row r="874" spans="1:7" x14ac:dyDescent="0.25">
      <c r="A874" s="4">
        <v>2</v>
      </c>
      <c r="B874" s="5">
        <v>6</v>
      </c>
      <c r="C874" s="6">
        <v>39722</v>
      </c>
      <c r="D874" s="7">
        <v>1125</v>
      </c>
      <c r="E874" s="8">
        <f>VLOOKUP(B874,T.productos!$A$1:$E$15,4,0)</f>
        <v>2.42</v>
      </c>
      <c r="F874" s="8">
        <f>VLOOKUP(B874,T.productos!$A$1:$E$15,5,0)</f>
        <v>2.2799999999999998</v>
      </c>
      <c r="G874" s="9">
        <f t="shared" si="13"/>
        <v>5.7851239669421489E-2</v>
      </c>
    </row>
    <row r="875" spans="1:7" x14ac:dyDescent="0.25">
      <c r="A875" s="4">
        <v>2</v>
      </c>
      <c r="B875" s="5">
        <v>8</v>
      </c>
      <c r="C875" s="6">
        <v>38125</v>
      </c>
      <c r="D875" s="7">
        <v>1651</v>
      </c>
      <c r="E875" s="8">
        <f>VLOOKUP(B875,T.productos!$A$1:$E$15,4,0)</f>
        <v>3.63</v>
      </c>
      <c r="F875" s="8">
        <f>VLOOKUP(B875,T.productos!$A$1:$E$15,5,0)</f>
        <v>3.35</v>
      </c>
      <c r="G875" s="9">
        <f t="shared" si="13"/>
        <v>7.7134986225895319E-2</v>
      </c>
    </row>
    <row r="876" spans="1:7" x14ac:dyDescent="0.25">
      <c r="A876" s="4">
        <v>2</v>
      </c>
      <c r="B876" s="5">
        <v>7</v>
      </c>
      <c r="C876" s="6">
        <v>38195</v>
      </c>
      <c r="D876" s="7">
        <v>1904</v>
      </c>
      <c r="E876" s="8">
        <f>VLOOKUP(B876,T.productos!$A$1:$E$15,4,0)</f>
        <v>0.97</v>
      </c>
      <c r="F876" s="8">
        <f>VLOOKUP(B876,T.productos!$A$1:$E$15,5,0)</f>
        <v>0.19</v>
      </c>
      <c r="G876" s="9">
        <f t="shared" si="13"/>
        <v>0.80412371134020622</v>
      </c>
    </row>
    <row r="877" spans="1:7" x14ac:dyDescent="0.25">
      <c r="A877" s="4">
        <v>3</v>
      </c>
      <c r="B877" s="5">
        <v>6</v>
      </c>
      <c r="C877" s="6">
        <v>38936</v>
      </c>
      <c r="D877" s="7">
        <v>1400</v>
      </c>
      <c r="E877" s="8">
        <f>VLOOKUP(B877,T.productos!$A$1:$E$15,4,0)</f>
        <v>2.42</v>
      </c>
      <c r="F877" s="8">
        <f>VLOOKUP(B877,T.productos!$A$1:$E$15,5,0)</f>
        <v>2.2799999999999998</v>
      </c>
      <c r="G877" s="9">
        <f t="shared" si="13"/>
        <v>5.7851239669421489E-2</v>
      </c>
    </row>
    <row r="878" spans="1:7" x14ac:dyDescent="0.25">
      <c r="A878" s="4">
        <v>2</v>
      </c>
      <c r="B878" s="5">
        <v>2</v>
      </c>
      <c r="C878" s="6">
        <v>38000</v>
      </c>
      <c r="D878" s="7">
        <v>1511</v>
      </c>
      <c r="E878" s="8">
        <f>VLOOKUP(B878,T.productos!$A$1:$E$15,4,0)</f>
        <v>1.63</v>
      </c>
      <c r="F878" s="8">
        <f>VLOOKUP(B878,T.productos!$A$1:$E$15,5,0)</f>
        <v>1.42</v>
      </c>
      <c r="G878" s="9">
        <f t="shared" si="13"/>
        <v>0.12883435582822086</v>
      </c>
    </row>
    <row r="879" spans="1:7" x14ac:dyDescent="0.25">
      <c r="A879" s="4">
        <v>2</v>
      </c>
      <c r="B879" s="5">
        <v>6</v>
      </c>
      <c r="C879" s="6">
        <v>39307</v>
      </c>
      <c r="D879" s="7">
        <v>1065</v>
      </c>
      <c r="E879" s="8">
        <f>VLOOKUP(B879,T.productos!$A$1:$E$15,4,0)</f>
        <v>2.42</v>
      </c>
      <c r="F879" s="8">
        <f>VLOOKUP(B879,T.productos!$A$1:$E$15,5,0)</f>
        <v>2.2799999999999998</v>
      </c>
      <c r="G879" s="9">
        <f t="shared" si="13"/>
        <v>5.7851239669421489E-2</v>
      </c>
    </row>
    <row r="880" spans="1:7" x14ac:dyDescent="0.25">
      <c r="A880" s="4">
        <v>1</v>
      </c>
      <c r="B880" s="5">
        <v>2</v>
      </c>
      <c r="C880" s="6">
        <v>39006</v>
      </c>
      <c r="D880" s="7">
        <v>2803</v>
      </c>
      <c r="E880" s="8">
        <f>VLOOKUP(B880,T.productos!$A$1:$E$15,4,0)</f>
        <v>1.63</v>
      </c>
      <c r="F880" s="8">
        <f>VLOOKUP(B880,T.productos!$A$1:$E$15,5,0)</f>
        <v>1.42</v>
      </c>
      <c r="G880" s="9">
        <f t="shared" si="13"/>
        <v>0.12883435582822086</v>
      </c>
    </row>
    <row r="881" spans="1:7" x14ac:dyDescent="0.25">
      <c r="A881" s="4">
        <v>1</v>
      </c>
      <c r="B881" s="5">
        <v>11</v>
      </c>
      <c r="C881" s="6">
        <v>38527</v>
      </c>
      <c r="D881" s="7">
        <v>557</v>
      </c>
      <c r="E881" s="8">
        <f>VLOOKUP(B881,T.productos!$A$1:$E$15,4,0)</f>
        <v>1.21</v>
      </c>
      <c r="F881" s="8">
        <f>VLOOKUP(B881,T.productos!$A$1:$E$15,5,0)</f>
        <v>0.72</v>
      </c>
      <c r="G881" s="9">
        <f t="shared" si="13"/>
        <v>0.4049586776859504</v>
      </c>
    </row>
    <row r="882" spans="1:7" x14ac:dyDescent="0.25">
      <c r="A882" s="4">
        <v>3</v>
      </c>
      <c r="B882" s="5">
        <v>2</v>
      </c>
      <c r="C882" s="6">
        <v>38172</v>
      </c>
      <c r="D882" s="7">
        <v>434</v>
      </c>
      <c r="E882" s="8">
        <f>VLOOKUP(B882,T.productos!$A$1:$E$15,4,0)</f>
        <v>1.63</v>
      </c>
      <c r="F882" s="8">
        <f>VLOOKUP(B882,T.productos!$A$1:$E$15,5,0)</f>
        <v>1.42</v>
      </c>
      <c r="G882" s="9">
        <f t="shared" si="13"/>
        <v>0.12883435582822086</v>
      </c>
    </row>
    <row r="883" spans="1:7" x14ac:dyDescent="0.25">
      <c r="A883" s="4">
        <v>1</v>
      </c>
      <c r="B883" s="5">
        <v>8</v>
      </c>
      <c r="C883" s="6">
        <v>39684</v>
      </c>
      <c r="D883" s="7">
        <v>499</v>
      </c>
      <c r="E883" s="8">
        <f>VLOOKUP(B883,T.productos!$A$1:$E$15,4,0)</f>
        <v>3.63</v>
      </c>
      <c r="F883" s="8">
        <f>VLOOKUP(B883,T.productos!$A$1:$E$15,5,0)</f>
        <v>3.35</v>
      </c>
      <c r="G883" s="9">
        <f t="shared" si="13"/>
        <v>7.7134986225895319E-2</v>
      </c>
    </row>
    <row r="884" spans="1:7" x14ac:dyDescent="0.25">
      <c r="A884" s="4">
        <v>4</v>
      </c>
      <c r="B884" s="5">
        <v>1</v>
      </c>
      <c r="C884" s="6">
        <v>39345</v>
      </c>
      <c r="D884" s="7">
        <v>925</v>
      </c>
      <c r="E884" s="8">
        <f>VLOOKUP(B884,T.productos!$A$1:$E$15,4,0)</f>
        <v>3.93</v>
      </c>
      <c r="F884" s="8">
        <f>VLOOKUP(B884,T.productos!$A$1:$E$15,5,0)</f>
        <v>3.4</v>
      </c>
      <c r="G884" s="9">
        <f t="shared" si="13"/>
        <v>0.13486005089058525</v>
      </c>
    </row>
    <row r="885" spans="1:7" x14ac:dyDescent="0.25">
      <c r="A885" s="4">
        <v>5</v>
      </c>
      <c r="B885" s="5">
        <v>10</v>
      </c>
      <c r="C885" s="6">
        <v>38501</v>
      </c>
      <c r="D885" s="7">
        <v>759</v>
      </c>
      <c r="E885" s="8">
        <f>VLOOKUP(B885,T.productos!$A$1:$E$15,4,0)</f>
        <v>0.61</v>
      </c>
      <c r="F885" s="8">
        <f>VLOOKUP(B885,T.productos!$A$1:$E$15,5,0)</f>
        <v>0.4</v>
      </c>
      <c r="G885" s="9">
        <f t="shared" si="13"/>
        <v>0.34426229508196721</v>
      </c>
    </row>
    <row r="886" spans="1:7" x14ac:dyDescent="0.25">
      <c r="A886" s="4">
        <v>3</v>
      </c>
      <c r="B886" s="5">
        <v>14</v>
      </c>
      <c r="C886" s="6">
        <v>38482</v>
      </c>
      <c r="D886" s="7">
        <v>1911</v>
      </c>
      <c r="E886" s="8">
        <f>VLOOKUP(B886,T.productos!$A$1:$E$15,4,0)</f>
        <v>3.63</v>
      </c>
      <c r="F886" s="8">
        <f>VLOOKUP(B886,T.productos!$A$1:$E$15,5,0)</f>
        <v>3.2</v>
      </c>
      <c r="G886" s="9">
        <f t="shared" si="13"/>
        <v>0.1184573002754821</v>
      </c>
    </row>
    <row r="887" spans="1:7" x14ac:dyDescent="0.25">
      <c r="A887" s="4">
        <v>4</v>
      </c>
      <c r="B887" s="5">
        <v>5</v>
      </c>
      <c r="C887" s="6">
        <v>39081</v>
      </c>
      <c r="D887" s="7">
        <v>2523</v>
      </c>
      <c r="E887" s="8">
        <f>VLOOKUP(B887,T.productos!$A$1:$E$15,4,0)</f>
        <v>2.54</v>
      </c>
      <c r="F887" s="8">
        <f>VLOOKUP(B887,T.productos!$A$1:$E$15,5,0)</f>
        <v>2.2799999999999998</v>
      </c>
      <c r="G887" s="9">
        <f t="shared" si="13"/>
        <v>0.10236220472440945</v>
      </c>
    </row>
    <row r="888" spans="1:7" x14ac:dyDescent="0.25">
      <c r="A888" s="4">
        <v>4</v>
      </c>
      <c r="B888" s="5">
        <v>9</v>
      </c>
      <c r="C888" s="6">
        <v>38636</v>
      </c>
      <c r="D888" s="7">
        <v>2957</v>
      </c>
      <c r="E888" s="8">
        <f>VLOOKUP(B888,T.productos!$A$1:$E$15,4,0)</f>
        <v>1.21</v>
      </c>
      <c r="F888" s="8">
        <f>VLOOKUP(B888,T.productos!$A$1:$E$15,5,0)</f>
        <v>0.36</v>
      </c>
      <c r="G888" s="9">
        <f t="shared" si="13"/>
        <v>0.7024793388429752</v>
      </c>
    </row>
    <row r="889" spans="1:7" x14ac:dyDescent="0.25">
      <c r="A889" s="4">
        <v>4</v>
      </c>
      <c r="B889" s="5">
        <v>5</v>
      </c>
      <c r="C889" s="6">
        <v>38799</v>
      </c>
      <c r="D889" s="7">
        <v>1565</v>
      </c>
      <c r="E889" s="8">
        <f>VLOOKUP(B889,T.productos!$A$1:$E$15,4,0)</f>
        <v>2.54</v>
      </c>
      <c r="F889" s="8">
        <f>VLOOKUP(B889,T.productos!$A$1:$E$15,5,0)</f>
        <v>2.2799999999999998</v>
      </c>
      <c r="G889" s="9">
        <f t="shared" si="13"/>
        <v>0.10236220472440945</v>
      </c>
    </row>
    <row r="890" spans="1:7" x14ac:dyDescent="0.25">
      <c r="A890" s="4">
        <v>4</v>
      </c>
      <c r="B890" s="5">
        <v>13</v>
      </c>
      <c r="C890" s="6">
        <v>38616</v>
      </c>
      <c r="D890" s="7">
        <v>1604</v>
      </c>
      <c r="E890" s="8">
        <f>VLOOKUP(B890,T.productos!$A$1:$E$15,4,0)</f>
        <v>0.24</v>
      </c>
      <c r="F890" s="8">
        <f>VLOOKUP(B890,T.productos!$A$1:$E$15,5,0)</f>
        <v>0.12</v>
      </c>
      <c r="G890" s="9">
        <f t="shared" si="13"/>
        <v>0.5</v>
      </c>
    </row>
    <row r="891" spans="1:7" x14ac:dyDescent="0.25">
      <c r="A891" s="4">
        <v>3</v>
      </c>
      <c r="B891" s="5">
        <v>10</v>
      </c>
      <c r="C891" s="6">
        <v>38204</v>
      </c>
      <c r="D891" s="7">
        <v>566</v>
      </c>
      <c r="E891" s="8">
        <f>VLOOKUP(B891,T.productos!$A$1:$E$15,4,0)</f>
        <v>0.61</v>
      </c>
      <c r="F891" s="8">
        <f>VLOOKUP(B891,T.productos!$A$1:$E$15,5,0)</f>
        <v>0.4</v>
      </c>
      <c r="G891" s="9">
        <f t="shared" si="13"/>
        <v>0.34426229508196721</v>
      </c>
    </row>
    <row r="892" spans="1:7" x14ac:dyDescent="0.25">
      <c r="A892" s="4">
        <v>1</v>
      </c>
      <c r="B892" s="5">
        <v>13</v>
      </c>
      <c r="C892" s="6">
        <v>39780</v>
      </c>
      <c r="D892" s="7">
        <v>2049</v>
      </c>
      <c r="E892" s="8">
        <f>VLOOKUP(B892,T.productos!$A$1:$E$15,4,0)</f>
        <v>0.24</v>
      </c>
      <c r="F892" s="8">
        <f>VLOOKUP(B892,T.productos!$A$1:$E$15,5,0)</f>
        <v>0.12</v>
      </c>
      <c r="G892" s="9">
        <f t="shared" si="13"/>
        <v>0.5</v>
      </c>
    </row>
    <row r="893" spans="1:7" x14ac:dyDescent="0.25">
      <c r="A893" s="4">
        <v>4</v>
      </c>
      <c r="B893" s="5">
        <v>10</v>
      </c>
      <c r="C893" s="6">
        <v>38191</v>
      </c>
      <c r="D893" s="7">
        <v>2703</v>
      </c>
      <c r="E893" s="8">
        <f>VLOOKUP(B893,T.productos!$A$1:$E$15,4,0)</f>
        <v>0.61</v>
      </c>
      <c r="F893" s="8">
        <f>VLOOKUP(B893,T.productos!$A$1:$E$15,5,0)</f>
        <v>0.4</v>
      </c>
      <c r="G893" s="9">
        <f t="shared" si="13"/>
        <v>0.34426229508196721</v>
      </c>
    </row>
    <row r="894" spans="1:7" x14ac:dyDescent="0.25">
      <c r="A894" s="4">
        <v>2</v>
      </c>
      <c r="B894" s="5">
        <v>4</v>
      </c>
      <c r="C894" s="6">
        <v>39118</v>
      </c>
      <c r="D894" s="7">
        <v>1364</v>
      </c>
      <c r="E894" s="8">
        <f>VLOOKUP(B894,T.productos!$A$1:$E$15,4,0)</f>
        <v>0.61</v>
      </c>
      <c r="F894" s="8">
        <f>VLOOKUP(B894,T.productos!$A$1:$E$15,5,0)</f>
        <v>0.28999999999999998</v>
      </c>
      <c r="G894" s="9">
        <f t="shared" si="13"/>
        <v>0.52459016393442626</v>
      </c>
    </row>
    <row r="895" spans="1:7" x14ac:dyDescent="0.25">
      <c r="A895" s="4">
        <v>1</v>
      </c>
      <c r="B895" s="5">
        <v>3</v>
      </c>
      <c r="C895" s="6">
        <v>38037</v>
      </c>
      <c r="D895" s="7">
        <v>699</v>
      </c>
      <c r="E895" s="8">
        <f>VLOOKUP(B895,T.productos!$A$1:$E$15,4,0)</f>
        <v>1.94</v>
      </c>
      <c r="F895" s="8">
        <f>VLOOKUP(B895,T.productos!$A$1:$E$15,5,0)</f>
        <v>1.89</v>
      </c>
      <c r="G895" s="9">
        <f t="shared" si="13"/>
        <v>2.5773195876288658E-2</v>
      </c>
    </row>
    <row r="896" spans="1:7" x14ac:dyDescent="0.25">
      <c r="A896" s="4">
        <v>4</v>
      </c>
      <c r="B896" s="5">
        <v>14</v>
      </c>
      <c r="C896" s="6">
        <v>39093</v>
      </c>
      <c r="D896" s="7">
        <v>2304</v>
      </c>
      <c r="E896" s="8">
        <f>VLOOKUP(B896,T.productos!$A$1:$E$15,4,0)</f>
        <v>3.63</v>
      </c>
      <c r="F896" s="8">
        <f>VLOOKUP(B896,T.productos!$A$1:$E$15,5,0)</f>
        <v>3.2</v>
      </c>
      <c r="G896" s="9">
        <f t="shared" si="13"/>
        <v>0.1184573002754821</v>
      </c>
    </row>
    <row r="897" spans="1:7" x14ac:dyDescent="0.25">
      <c r="A897" s="4">
        <v>5</v>
      </c>
      <c r="B897" s="5">
        <v>3</v>
      </c>
      <c r="C897" s="6">
        <v>39636</v>
      </c>
      <c r="D897" s="7">
        <v>1999</v>
      </c>
      <c r="E897" s="8">
        <f>VLOOKUP(B897,T.productos!$A$1:$E$15,4,0)</f>
        <v>1.94</v>
      </c>
      <c r="F897" s="8">
        <f>VLOOKUP(B897,T.productos!$A$1:$E$15,5,0)</f>
        <v>1.89</v>
      </c>
      <c r="G897" s="9">
        <f t="shared" si="13"/>
        <v>2.5773195876288658E-2</v>
      </c>
    </row>
    <row r="898" spans="1:7" x14ac:dyDescent="0.25">
      <c r="A898" s="4">
        <v>3</v>
      </c>
      <c r="B898" s="5">
        <v>10</v>
      </c>
      <c r="C898" s="6">
        <v>39392</v>
      </c>
      <c r="D898" s="7">
        <v>2326</v>
      </c>
      <c r="E898" s="8">
        <f>VLOOKUP(B898,T.productos!$A$1:$E$15,4,0)</f>
        <v>0.61</v>
      </c>
      <c r="F898" s="8">
        <f>VLOOKUP(B898,T.productos!$A$1:$E$15,5,0)</f>
        <v>0.4</v>
      </c>
      <c r="G898" s="9">
        <f t="shared" ref="G898:G961" si="14">margen(D898,E898,F898)</f>
        <v>0.34426229508196721</v>
      </c>
    </row>
    <row r="899" spans="1:7" x14ac:dyDescent="0.25">
      <c r="A899" s="4">
        <v>3</v>
      </c>
      <c r="B899" s="5">
        <v>8</v>
      </c>
      <c r="C899" s="6">
        <v>39681</v>
      </c>
      <c r="D899" s="7">
        <v>2676</v>
      </c>
      <c r="E899" s="8">
        <f>VLOOKUP(B899,T.productos!$A$1:$E$15,4,0)</f>
        <v>3.63</v>
      </c>
      <c r="F899" s="8">
        <f>VLOOKUP(B899,T.productos!$A$1:$E$15,5,0)</f>
        <v>3.35</v>
      </c>
      <c r="G899" s="9">
        <f t="shared" si="14"/>
        <v>7.7134986225895319E-2</v>
      </c>
    </row>
    <row r="900" spans="1:7" x14ac:dyDescent="0.25">
      <c r="A900" s="4">
        <v>2</v>
      </c>
      <c r="B900" s="5">
        <v>8</v>
      </c>
      <c r="C900" s="6">
        <v>38677</v>
      </c>
      <c r="D900" s="7">
        <v>498</v>
      </c>
      <c r="E900" s="8">
        <f>VLOOKUP(B900,T.productos!$A$1:$E$15,4,0)</f>
        <v>3.63</v>
      </c>
      <c r="F900" s="8">
        <f>VLOOKUP(B900,T.productos!$A$1:$E$15,5,0)</f>
        <v>3.35</v>
      </c>
      <c r="G900" s="9">
        <f t="shared" si="14"/>
        <v>7.7134986225895319E-2</v>
      </c>
    </row>
    <row r="901" spans="1:7" x14ac:dyDescent="0.25">
      <c r="A901" s="4">
        <v>4</v>
      </c>
      <c r="B901" s="5">
        <v>14</v>
      </c>
      <c r="C901" s="6">
        <v>38435</v>
      </c>
      <c r="D901" s="7">
        <v>642</v>
      </c>
      <c r="E901" s="8">
        <f>VLOOKUP(B901,T.productos!$A$1:$E$15,4,0)</f>
        <v>3.63</v>
      </c>
      <c r="F901" s="8">
        <f>VLOOKUP(B901,T.productos!$A$1:$E$15,5,0)</f>
        <v>3.2</v>
      </c>
      <c r="G901" s="9">
        <f t="shared" si="14"/>
        <v>0.1184573002754821</v>
      </c>
    </row>
    <row r="902" spans="1:7" x14ac:dyDescent="0.25">
      <c r="A902" s="4">
        <v>3</v>
      </c>
      <c r="B902" s="5">
        <v>8</v>
      </c>
      <c r="C902" s="6">
        <v>38106</v>
      </c>
      <c r="D902" s="7">
        <v>806</v>
      </c>
      <c r="E902" s="8">
        <f>VLOOKUP(B902,T.productos!$A$1:$E$15,4,0)</f>
        <v>3.63</v>
      </c>
      <c r="F902" s="8">
        <f>VLOOKUP(B902,T.productos!$A$1:$E$15,5,0)</f>
        <v>3.35</v>
      </c>
      <c r="G902" s="9">
        <f t="shared" si="14"/>
        <v>7.7134986225895319E-2</v>
      </c>
    </row>
    <row r="903" spans="1:7" x14ac:dyDescent="0.25">
      <c r="A903" s="4">
        <v>1</v>
      </c>
      <c r="B903" s="5">
        <v>5</v>
      </c>
      <c r="C903" s="6">
        <v>38939</v>
      </c>
      <c r="D903" s="7">
        <v>1613</v>
      </c>
      <c r="E903" s="8">
        <f>VLOOKUP(B903,T.productos!$A$1:$E$15,4,0)</f>
        <v>2.54</v>
      </c>
      <c r="F903" s="8">
        <f>VLOOKUP(B903,T.productos!$A$1:$E$15,5,0)</f>
        <v>2.2799999999999998</v>
      </c>
      <c r="G903" s="9">
        <f t="shared" si="14"/>
        <v>0.10236220472440945</v>
      </c>
    </row>
    <row r="904" spans="1:7" x14ac:dyDescent="0.25">
      <c r="A904" s="4">
        <v>2</v>
      </c>
      <c r="B904" s="5">
        <v>12</v>
      </c>
      <c r="C904" s="6">
        <v>38104</v>
      </c>
      <c r="D904" s="7">
        <v>493</v>
      </c>
      <c r="E904" s="8">
        <f>VLOOKUP(B904,T.productos!$A$1:$E$15,4,0)</f>
        <v>2.42</v>
      </c>
      <c r="F904" s="8">
        <f>VLOOKUP(B904,T.productos!$A$1:$E$15,5,0)</f>
        <v>1.68</v>
      </c>
      <c r="G904" s="9">
        <f t="shared" si="14"/>
        <v>0.30578512396694213</v>
      </c>
    </row>
    <row r="905" spans="1:7" x14ac:dyDescent="0.25">
      <c r="A905" s="4">
        <v>4</v>
      </c>
      <c r="B905" s="5">
        <v>9</v>
      </c>
      <c r="C905" s="6">
        <v>39512</v>
      </c>
      <c r="D905" s="7">
        <v>2656</v>
      </c>
      <c r="E905" s="8">
        <f>VLOOKUP(B905,T.productos!$A$1:$E$15,4,0)</f>
        <v>1.21</v>
      </c>
      <c r="F905" s="8">
        <f>VLOOKUP(B905,T.productos!$A$1:$E$15,5,0)</f>
        <v>0.36</v>
      </c>
      <c r="G905" s="9">
        <f t="shared" si="14"/>
        <v>0.7024793388429752</v>
      </c>
    </row>
    <row r="906" spans="1:7" x14ac:dyDescent="0.25">
      <c r="A906" s="4">
        <v>1</v>
      </c>
      <c r="B906" s="5">
        <v>7</v>
      </c>
      <c r="C906" s="6">
        <v>39340</v>
      </c>
      <c r="D906" s="7">
        <v>1761</v>
      </c>
      <c r="E906" s="8">
        <f>VLOOKUP(B906,T.productos!$A$1:$E$15,4,0)</f>
        <v>0.97</v>
      </c>
      <c r="F906" s="8">
        <f>VLOOKUP(B906,T.productos!$A$1:$E$15,5,0)</f>
        <v>0.19</v>
      </c>
      <c r="G906" s="9">
        <f t="shared" si="14"/>
        <v>0.80412371134020622</v>
      </c>
    </row>
    <row r="907" spans="1:7" x14ac:dyDescent="0.25">
      <c r="A907" s="4">
        <v>3</v>
      </c>
      <c r="B907" s="5">
        <v>2</v>
      </c>
      <c r="C907" s="6">
        <v>39641</v>
      </c>
      <c r="D907" s="7">
        <v>929</v>
      </c>
      <c r="E907" s="8">
        <f>VLOOKUP(B907,T.productos!$A$1:$E$15,4,0)</f>
        <v>1.63</v>
      </c>
      <c r="F907" s="8">
        <f>VLOOKUP(B907,T.productos!$A$1:$E$15,5,0)</f>
        <v>1.42</v>
      </c>
      <c r="G907" s="9">
        <f t="shared" si="14"/>
        <v>0.12883435582822086</v>
      </c>
    </row>
    <row r="908" spans="1:7" x14ac:dyDescent="0.25">
      <c r="A908" s="4">
        <v>3</v>
      </c>
      <c r="B908" s="5">
        <v>4</v>
      </c>
      <c r="C908" s="6">
        <v>38820</v>
      </c>
      <c r="D908" s="7">
        <v>1237</v>
      </c>
      <c r="E908" s="8">
        <f>VLOOKUP(B908,T.productos!$A$1:$E$15,4,0)</f>
        <v>0.61</v>
      </c>
      <c r="F908" s="8">
        <f>VLOOKUP(B908,T.productos!$A$1:$E$15,5,0)</f>
        <v>0.28999999999999998</v>
      </c>
      <c r="G908" s="9">
        <f t="shared" si="14"/>
        <v>0.52459016393442626</v>
      </c>
    </row>
    <row r="909" spans="1:7" x14ac:dyDescent="0.25">
      <c r="A909" s="4">
        <v>3</v>
      </c>
      <c r="B909" s="5">
        <v>11</v>
      </c>
      <c r="C909" s="6">
        <v>39881</v>
      </c>
      <c r="D909" s="7">
        <v>1710</v>
      </c>
      <c r="E909" s="8">
        <f>VLOOKUP(B909,T.productos!$A$1:$E$15,4,0)</f>
        <v>1.21</v>
      </c>
      <c r="F909" s="8">
        <f>VLOOKUP(B909,T.productos!$A$1:$E$15,5,0)</f>
        <v>0.72</v>
      </c>
      <c r="G909" s="9">
        <f t="shared" si="14"/>
        <v>0.4049586776859504</v>
      </c>
    </row>
    <row r="910" spans="1:7" x14ac:dyDescent="0.25">
      <c r="A910" s="4">
        <v>5</v>
      </c>
      <c r="B910" s="5">
        <v>2</v>
      </c>
      <c r="C910" s="6">
        <v>38849</v>
      </c>
      <c r="D910" s="7">
        <v>1097</v>
      </c>
      <c r="E910" s="8">
        <f>VLOOKUP(B910,T.productos!$A$1:$E$15,4,0)</f>
        <v>1.63</v>
      </c>
      <c r="F910" s="8">
        <f>VLOOKUP(B910,T.productos!$A$1:$E$15,5,0)</f>
        <v>1.42</v>
      </c>
      <c r="G910" s="9">
        <f t="shared" si="14"/>
        <v>0.12883435582822086</v>
      </c>
    </row>
    <row r="911" spans="1:7" x14ac:dyDescent="0.25">
      <c r="A911" s="4">
        <v>2</v>
      </c>
      <c r="B911" s="5">
        <v>14</v>
      </c>
      <c r="C911" s="6">
        <v>39792</v>
      </c>
      <c r="D911" s="7">
        <v>311</v>
      </c>
      <c r="E911" s="8">
        <f>VLOOKUP(B911,T.productos!$A$1:$E$15,4,0)</f>
        <v>3.63</v>
      </c>
      <c r="F911" s="8">
        <f>VLOOKUP(B911,T.productos!$A$1:$E$15,5,0)</f>
        <v>3.2</v>
      </c>
      <c r="G911" s="9">
        <f t="shared" si="14"/>
        <v>0.1184573002754821</v>
      </c>
    </row>
    <row r="912" spans="1:7" x14ac:dyDescent="0.25">
      <c r="A912" s="4">
        <v>2</v>
      </c>
      <c r="B912" s="5">
        <v>5</v>
      </c>
      <c r="C912" s="6">
        <v>38155</v>
      </c>
      <c r="D912" s="7">
        <v>2320</v>
      </c>
      <c r="E912" s="8">
        <f>VLOOKUP(B912,T.productos!$A$1:$E$15,4,0)</f>
        <v>2.54</v>
      </c>
      <c r="F912" s="8">
        <f>VLOOKUP(B912,T.productos!$A$1:$E$15,5,0)</f>
        <v>2.2799999999999998</v>
      </c>
      <c r="G912" s="9">
        <f t="shared" si="14"/>
        <v>0.10236220472440945</v>
      </c>
    </row>
    <row r="913" spans="1:7" x14ac:dyDescent="0.25">
      <c r="A913" s="4">
        <v>5</v>
      </c>
      <c r="B913" s="5">
        <v>11</v>
      </c>
      <c r="C913" s="6">
        <v>39395</v>
      </c>
      <c r="D913" s="7">
        <v>2196</v>
      </c>
      <c r="E913" s="8">
        <f>VLOOKUP(B913,T.productos!$A$1:$E$15,4,0)</f>
        <v>1.21</v>
      </c>
      <c r="F913" s="8">
        <f>VLOOKUP(B913,T.productos!$A$1:$E$15,5,0)</f>
        <v>0.72</v>
      </c>
      <c r="G913" s="9">
        <f t="shared" si="14"/>
        <v>0.4049586776859504</v>
      </c>
    </row>
    <row r="914" spans="1:7" x14ac:dyDescent="0.25">
      <c r="A914" s="4">
        <v>2</v>
      </c>
      <c r="B914" s="5">
        <v>13</v>
      </c>
      <c r="C914" s="6">
        <v>38688</v>
      </c>
      <c r="D914" s="7">
        <v>957</v>
      </c>
      <c r="E914" s="8">
        <f>VLOOKUP(B914,T.productos!$A$1:$E$15,4,0)</f>
        <v>0.24</v>
      </c>
      <c r="F914" s="8">
        <f>VLOOKUP(B914,T.productos!$A$1:$E$15,5,0)</f>
        <v>0.12</v>
      </c>
      <c r="G914" s="9">
        <f t="shared" si="14"/>
        <v>0.5</v>
      </c>
    </row>
    <row r="915" spans="1:7" x14ac:dyDescent="0.25">
      <c r="A915" s="4">
        <v>1</v>
      </c>
      <c r="B915" s="5">
        <v>10</v>
      </c>
      <c r="C915" s="6">
        <v>38700</v>
      </c>
      <c r="D915" s="7">
        <v>2909</v>
      </c>
      <c r="E915" s="8">
        <f>VLOOKUP(B915,T.productos!$A$1:$E$15,4,0)</f>
        <v>0.61</v>
      </c>
      <c r="F915" s="8">
        <f>VLOOKUP(B915,T.productos!$A$1:$E$15,5,0)</f>
        <v>0.4</v>
      </c>
      <c r="G915" s="9">
        <f t="shared" si="14"/>
        <v>0.34426229508196721</v>
      </c>
    </row>
    <row r="916" spans="1:7" x14ac:dyDescent="0.25">
      <c r="A916" s="4">
        <v>3</v>
      </c>
      <c r="B916" s="5">
        <v>5</v>
      </c>
      <c r="C916" s="6">
        <v>38735</v>
      </c>
      <c r="D916" s="7">
        <v>2857</v>
      </c>
      <c r="E916" s="8">
        <f>VLOOKUP(B916,T.productos!$A$1:$E$15,4,0)</f>
        <v>2.54</v>
      </c>
      <c r="F916" s="8">
        <f>VLOOKUP(B916,T.productos!$A$1:$E$15,5,0)</f>
        <v>2.2799999999999998</v>
      </c>
      <c r="G916" s="9">
        <f t="shared" si="14"/>
        <v>0.10236220472440945</v>
      </c>
    </row>
    <row r="917" spans="1:7" x14ac:dyDescent="0.25">
      <c r="A917" s="4">
        <v>2</v>
      </c>
      <c r="B917" s="5">
        <v>4</v>
      </c>
      <c r="C917" s="6">
        <v>39479</v>
      </c>
      <c r="D917" s="7">
        <v>494</v>
      </c>
      <c r="E917" s="8">
        <f>VLOOKUP(B917,T.productos!$A$1:$E$15,4,0)</f>
        <v>0.61</v>
      </c>
      <c r="F917" s="8">
        <f>VLOOKUP(B917,T.productos!$A$1:$E$15,5,0)</f>
        <v>0.28999999999999998</v>
      </c>
      <c r="G917" s="9">
        <f t="shared" si="14"/>
        <v>0.52459016393442626</v>
      </c>
    </row>
    <row r="918" spans="1:7" x14ac:dyDescent="0.25">
      <c r="A918" s="4">
        <v>1</v>
      </c>
      <c r="B918" s="5">
        <v>7</v>
      </c>
      <c r="C918" s="6">
        <v>39295</v>
      </c>
      <c r="D918" s="7">
        <v>300</v>
      </c>
      <c r="E918" s="8">
        <f>VLOOKUP(B918,T.productos!$A$1:$E$15,4,0)</f>
        <v>0.97</v>
      </c>
      <c r="F918" s="8">
        <f>VLOOKUP(B918,T.productos!$A$1:$E$15,5,0)</f>
        <v>0.19</v>
      </c>
      <c r="G918" s="9">
        <f t="shared" si="14"/>
        <v>0.80412371134020622</v>
      </c>
    </row>
    <row r="919" spans="1:7" x14ac:dyDescent="0.25">
      <c r="A919" s="4">
        <v>3</v>
      </c>
      <c r="B919" s="5">
        <v>1</v>
      </c>
      <c r="C919" s="6">
        <v>39936</v>
      </c>
      <c r="D919" s="7">
        <v>2316</v>
      </c>
      <c r="E919" s="8">
        <f>VLOOKUP(B919,T.productos!$A$1:$E$15,4,0)</f>
        <v>3.93</v>
      </c>
      <c r="F919" s="8">
        <f>VLOOKUP(B919,T.productos!$A$1:$E$15,5,0)</f>
        <v>3.4</v>
      </c>
      <c r="G919" s="9">
        <f t="shared" si="14"/>
        <v>0.13486005089058525</v>
      </c>
    </row>
    <row r="920" spans="1:7" x14ac:dyDescent="0.25">
      <c r="A920" s="4">
        <v>5</v>
      </c>
      <c r="B920" s="5">
        <v>6</v>
      </c>
      <c r="C920" s="6">
        <v>38716</v>
      </c>
      <c r="D920" s="7">
        <v>1189</v>
      </c>
      <c r="E920" s="8">
        <f>VLOOKUP(B920,T.productos!$A$1:$E$15,4,0)</f>
        <v>2.42</v>
      </c>
      <c r="F920" s="8">
        <f>VLOOKUP(B920,T.productos!$A$1:$E$15,5,0)</f>
        <v>2.2799999999999998</v>
      </c>
      <c r="G920" s="9">
        <f t="shared" si="14"/>
        <v>5.7851239669421489E-2</v>
      </c>
    </row>
    <row r="921" spans="1:7" x14ac:dyDescent="0.25">
      <c r="A921" s="4">
        <v>1</v>
      </c>
      <c r="B921" s="5">
        <v>9</v>
      </c>
      <c r="C921" s="6">
        <v>38581</v>
      </c>
      <c r="D921" s="7">
        <v>456</v>
      </c>
      <c r="E921" s="8">
        <f>VLOOKUP(B921,T.productos!$A$1:$E$15,4,0)</f>
        <v>1.21</v>
      </c>
      <c r="F921" s="8">
        <f>VLOOKUP(B921,T.productos!$A$1:$E$15,5,0)</f>
        <v>0.36</v>
      </c>
      <c r="G921" s="9">
        <f t="shared" si="14"/>
        <v>0.7024793388429752</v>
      </c>
    </row>
    <row r="922" spans="1:7" x14ac:dyDescent="0.25">
      <c r="A922" s="4">
        <v>5</v>
      </c>
      <c r="B922" s="5">
        <v>12</v>
      </c>
      <c r="C922" s="6">
        <v>39828</v>
      </c>
      <c r="D922" s="7">
        <v>1537</v>
      </c>
      <c r="E922" s="8">
        <f>VLOOKUP(B922,T.productos!$A$1:$E$15,4,0)</f>
        <v>2.42</v>
      </c>
      <c r="F922" s="8">
        <f>VLOOKUP(B922,T.productos!$A$1:$E$15,5,0)</f>
        <v>1.68</v>
      </c>
      <c r="G922" s="9">
        <f t="shared" si="14"/>
        <v>0.30578512396694213</v>
      </c>
    </row>
    <row r="923" spans="1:7" x14ac:dyDescent="0.25">
      <c r="A923" s="4">
        <v>1</v>
      </c>
      <c r="B923" s="5">
        <v>13</v>
      </c>
      <c r="C923" s="6">
        <v>38929</v>
      </c>
      <c r="D923" s="7">
        <v>1034</v>
      </c>
      <c r="E923" s="8">
        <f>VLOOKUP(B923,T.productos!$A$1:$E$15,4,0)</f>
        <v>0.24</v>
      </c>
      <c r="F923" s="8">
        <f>VLOOKUP(B923,T.productos!$A$1:$E$15,5,0)</f>
        <v>0.12</v>
      </c>
      <c r="G923" s="9">
        <f t="shared" si="14"/>
        <v>0.5</v>
      </c>
    </row>
    <row r="924" spans="1:7" x14ac:dyDescent="0.25">
      <c r="A924" s="4">
        <v>2</v>
      </c>
      <c r="B924" s="5">
        <v>7</v>
      </c>
      <c r="C924" s="6">
        <v>39895</v>
      </c>
      <c r="D924" s="7">
        <v>2081</v>
      </c>
      <c r="E924" s="8">
        <f>VLOOKUP(B924,T.productos!$A$1:$E$15,4,0)</f>
        <v>0.97</v>
      </c>
      <c r="F924" s="8">
        <f>VLOOKUP(B924,T.productos!$A$1:$E$15,5,0)</f>
        <v>0.19</v>
      </c>
      <c r="G924" s="9">
        <f t="shared" si="14"/>
        <v>0.80412371134020622</v>
      </c>
    </row>
    <row r="925" spans="1:7" x14ac:dyDescent="0.25">
      <c r="A925" s="4">
        <v>3</v>
      </c>
      <c r="B925" s="5">
        <v>14</v>
      </c>
      <c r="C925" s="6">
        <v>38139</v>
      </c>
      <c r="D925" s="7">
        <v>1897</v>
      </c>
      <c r="E925" s="8">
        <f>VLOOKUP(B925,T.productos!$A$1:$E$15,4,0)</f>
        <v>3.63</v>
      </c>
      <c r="F925" s="8">
        <f>VLOOKUP(B925,T.productos!$A$1:$E$15,5,0)</f>
        <v>3.2</v>
      </c>
      <c r="G925" s="9">
        <f t="shared" si="14"/>
        <v>0.1184573002754821</v>
      </c>
    </row>
    <row r="926" spans="1:7" x14ac:dyDescent="0.25">
      <c r="A926" s="4">
        <v>4</v>
      </c>
      <c r="B926" s="5">
        <v>2</v>
      </c>
      <c r="C926" s="6">
        <v>39699</v>
      </c>
      <c r="D926" s="7">
        <v>720</v>
      </c>
      <c r="E926" s="8">
        <f>VLOOKUP(B926,T.productos!$A$1:$E$15,4,0)</f>
        <v>1.63</v>
      </c>
      <c r="F926" s="8">
        <f>VLOOKUP(B926,T.productos!$A$1:$E$15,5,0)</f>
        <v>1.42</v>
      </c>
      <c r="G926" s="9">
        <f t="shared" si="14"/>
        <v>0.12883435582822086</v>
      </c>
    </row>
    <row r="927" spans="1:7" x14ac:dyDescent="0.25">
      <c r="A927" s="4">
        <v>3</v>
      </c>
      <c r="B927" s="5">
        <v>3</v>
      </c>
      <c r="C927" s="6">
        <v>39868</v>
      </c>
      <c r="D927" s="7">
        <v>2247</v>
      </c>
      <c r="E927" s="8">
        <f>VLOOKUP(B927,T.productos!$A$1:$E$15,4,0)</f>
        <v>1.94</v>
      </c>
      <c r="F927" s="8">
        <f>VLOOKUP(B927,T.productos!$A$1:$E$15,5,0)</f>
        <v>1.89</v>
      </c>
      <c r="G927" s="9">
        <f t="shared" si="14"/>
        <v>2.5773195876288658E-2</v>
      </c>
    </row>
    <row r="928" spans="1:7" x14ac:dyDescent="0.25">
      <c r="A928" s="4">
        <v>5</v>
      </c>
      <c r="B928" s="5">
        <v>4</v>
      </c>
      <c r="C928" s="6">
        <v>38585</v>
      </c>
      <c r="D928" s="7">
        <v>977</v>
      </c>
      <c r="E928" s="8">
        <f>VLOOKUP(B928,T.productos!$A$1:$E$15,4,0)</f>
        <v>0.61</v>
      </c>
      <c r="F928" s="8">
        <f>VLOOKUP(B928,T.productos!$A$1:$E$15,5,0)</f>
        <v>0.28999999999999998</v>
      </c>
      <c r="G928" s="9">
        <f t="shared" si="14"/>
        <v>0.52459016393442626</v>
      </c>
    </row>
    <row r="929" spans="1:7" x14ac:dyDescent="0.25">
      <c r="A929" s="4">
        <v>3</v>
      </c>
      <c r="B929" s="5">
        <v>8</v>
      </c>
      <c r="C929" s="6">
        <v>38702</v>
      </c>
      <c r="D929" s="7">
        <v>2395</v>
      </c>
      <c r="E929" s="8">
        <f>VLOOKUP(B929,T.productos!$A$1:$E$15,4,0)</f>
        <v>3.63</v>
      </c>
      <c r="F929" s="8">
        <f>VLOOKUP(B929,T.productos!$A$1:$E$15,5,0)</f>
        <v>3.35</v>
      </c>
      <c r="G929" s="9">
        <f t="shared" si="14"/>
        <v>7.7134986225895319E-2</v>
      </c>
    </row>
    <row r="930" spans="1:7" x14ac:dyDescent="0.25">
      <c r="A930" s="4">
        <v>2</v>
      </c>
      <c r="B930" s="5">
        <v>13</v>
      </c>
      <c r="C930" s="6">
        <v>39528</v>
      </c>
      <c r="D930" s="7">
        <v>750</v>
      </c>
      <c r="E930" s="8">
        <f>VLOOKUP(B930,T.productos!$A$1:$E$15,4,0)</f>
        <v>0.24</v>
      </c>
      <c r="F930" s="8">
        <f>VLOOKUP(B930,T.productos!$A$1:$E$15,5,0)</f>
        <v>0.12</v>
      </c>
      <c r="G930" s="9">
        <f t="shared" si="14"/>
        <v>0.5</v>
      </c>
    </row>
    <row r="931" spans="1:7" x14ac:dyDescent="0.25">
      <c r="A931" s="4">
        <v>2</v>
      </c>
      <c r="B931" s="5">
        <v>5</v>
      </c>
      <c r="C931" s="6">
        <v>38281</v>
      </c>
      <c r="D931" s="7">
        <v>1577</v>
      </c>
      <c r="E931" s="8">
        <f>VLOOKUP(B931,T.productos!$A$1:$E$15,4,0)</f>
        <v>2.54</v>
      </c>
      <c r="F931" s="8">
        <f>VLOOKUP(B931,T.productos!$A$1:$E$15,5,0)</f>
        <v>2.2799999999999998</v>
      </c>
      <c r="G931" s="9">
        <f t="shared" si="14"/>
        <v>0.10236220472440945</v>
      </c>
    </row>
    <row r="932" spans="1:7" x14ac:dyDescent="0.25">
      <c r="A932" s="4">
        <v>3</v>
      </c>
      <c r="B932" s="5">
        <v>4</v>
      </c>
      <c r="C932" s="6">
        <v>39107</v>
      </c>
      <c r="D932" s="7">
        <v>2854</v>
      </c>
      <c r="E932" s="8">
        <f>VLOOKUP(B932,T.productos!$A$1:$E$15,4,0)</f>
        <v>0.61</v>
      </c>
      <c r="F932" s="8">
        <f>VLOOKUP(B932,T.productos!$A$1:$E$15,5,0)</f>
        <v>0.28999999999999998</v>
      </c>
      <c r="G932" s="9">
        <f t="shared" si="14"/>
        <v>0.52459016393442626</v>
      </c>
    </row>
    <row r="933" spans="1:7" x14ac:dyDescent="0.25">
      <c r="A933" s="4">
        <v>1</v>
      </c>
      <c r="B933" s="5">
        <v>2</v>
      </c>
      <c r="C933" s="6">
        <v>39690</v>
      </c>
      <c r="D933" s="7">
        <v>1507</v>
      </c>
      <c r="E933" s="8">
        <f>VLOOKUP(B933,T.productos!$A$1:$E$15,4,0)</f>
        <v>1.63</v>
      </c>
      <c r="F933" s="8">
        <f>VLOOKUP(B933,T.productos!$A$1:$E$15,5,0)</f>
        <v>1.42</v>
      </c>
      <c r="G933" s="9">
        <f t="shared" si="14"/>
        <v>0.12883435582822086</v>
      </c>
    </row>
    <row r="934" spans="1:7" x14ac:dyDescent="0.25">
      <c r="A934" s="4">
        <v>2</v>
      </c>
      <c r="B934" s="5">
        <v>8</v>
      </c>
      <c r="C934" s="6">
        <v>39096</v>
      </c>
      <c r="D934" s="7">
        <v>1354</v>
      </c>
      <c r="E934" s="8">
        <f>VLOOKUP(B934,T.productos!$A$1:$E$15,4,0)</f>
        <v>3.63</v>
      </c>
      <c r="F934" s="8">
        <f>VLOOKUP(B934,T.productos!$A$1:$E$15,5,0)</f>
        <v>3.35</v>
      </c>
      <c r="G934" s="9">
        <f t="shared" si="14"/>
        <v>7.7134986225895319E-2</v>
      </c>
    </row>
    <row r="935" spans="1:7" x14ac:dyDescent="0.25">
      <c r="A935" s="4">
        <v>4</v>
      </c>
      <c r="B935" s="5">
        <v>3</v>
      </c>
      <c r="C935" s="6">
        <v>38845</v>
      </c>
      <c r="D935" s="7">
        <v>537</v>
      </c>
      <c r="E935" s="8">
        <f>VLOOKUP(B935,T.productos!$A$1:$E$15,4,0)</f>
        <v>1.94</v>
      </c>
      <c r="F935" s="8">
        <f>VLOOKUP(B935,T.productos!$A$1:$E$15,5,0)</f>
        <v>1.89</v>
      </c>
      <c r="G935" s="9">
        <f t="shared" si="14"/>
        <v>2.5773195876288658E-2</v>
      </c>
    </row>
    <row r="936" spans="1:7" x14ac:dyDescent="0.25">
      <c r="A936" s="4">
        <v>1</v>
      </c>
      <c r="B936" s="5">
        <v>4</v>
      </c>
      <c r="C936" s="6">
        <v>39019</v>
      </c>
      <c r="D936" s="7">
        <v>484</v>
      </c>
      <c r="E936" s="8">
        <f>VLOOKUP(B936,T.productos!$A$1:$E$15,4,0)</f>
        <v>0.61</v>
      </c>
      <c r="F936" s="8">
        <f>VLOOKUP(B936,T.productos!$A$1:$E$15,5,0)</f>
        <v>0.28999999999999998</v>
      </c>
      <c r="G936" s="9">
        <f t="shared" si="14"/>
        <v>0.52459016393442626</v>
      </c>
    </row>
    <row r="937" spans="1:7" x14ac:dyDescent="0.25">
      <c r="A937" s="4">
        <v>4</v>
      </c>
      <c r="B937" s="5">
        <v>7</v>
      </c>
      <c r="C937" s="6">
        <v>39743</v>
      </c>
      <c r="D937" s="7">
        <v>2323</v>
      </c>
      <c r="E937" s="8">
        <f>VLOOKUP(B937,T.productos!$A$1:$E$15,4,0)</f>
        <v>0.97</v>
      </c>
      <c r="F937" s="8">
        <f>VLOOKUP(B937,T.productos!$A$1:$E$15,5,0)</f>
        <v>0.19</v>
      </c>
      <c r="G937" s="9">
        <f t="shared" si="14"/>
        <v>0.80412371134020622</v>
      </c>
    </row>
    <row r="938" spans="1:7" x14ac:dyDescent="0.25">
      <c r="A938" s="4">
        <v>3</v>
      </c>
      <c r="B938" s="5">
        <v>7</v>
      </c>
      <c r="C938" s="6">
        <v>38073</v>
      </c>
      <c r="D938" s="7">
        <v>1744</v>
      </c>
      <c r="E938" s="8">
        <f>VLOOKUP(B938,T.productos!$A$1:$E$15,4,0)</f>
        <v>0.97</v>
      </c>
      <c r="F938" s="8">
        <f>VLOOKUP(B938,T.productos!$A$1:$E$15,5,0)</f>
        <v>0.19</v>
      </c>
      <c r="G938" s="9">
        <f t="shared" si="14"/>
        <v>0.80412371134020622</v>
      </c>
    </row>
    <row r="939" spans="1:7" x14ac:dyDescent="0.25">
      <c r="A939" s="4">
        <v>1</v>
      </c>
      <c r="B939" s="5">
        <v>9</v>
      </c>
      <c r="C939" s="6">
        <v>39046</v>
      </c>
      <c r="D939" s="7">
        <v>606</v>
      </c>
      <c r="E939" s="8">
        <f>VLOOKUP(B939,T.productos!$A$1:$E$15,4,0)</f>
        <v>1.21</v>
      </c>
      <c r="F939" s="8">
        <f>VLOOKUP(B939,T.productos!$A$1:$E$15,5,0)</f>
        <v>0.36</v>
      </c>
      <c r="G939" s="9">
        <f t="shared" si="14"/>
        <v>0.7024793388429752</v>
      </c>
    </row>
    <row r="940" spans="1:7" x14ac:dyDescent="0.25">
      <c r="A940" s="4">
        <v>5</v>
      </c>
      <c r="B940" s="5">
        <v>8</v>
      </c>
      <c r="C940" s="6">
        <v>38259</v>
      </c>
      <c r="D940" s="7">
        <v>1133</v>
      </c>
      <c r="E940" s="8">
        <f>VLOOKUP(B940,T.productos!$A$1:$E$15,4,0)</f>
        <v>3.63</v>
      </c>
      <c r="F940" s="8">
        <f>VLOOKUP(B940,T.productos!$A$1:$E$15,5,0)</f>
        <v>3.35</v>
      </c>
      <c r="G940" s="9">
        <f t="shared" si="14"/>
        <v>7.7134986225895319E-2</v>
      </c>
    </row>
    <row r="941" spans="1:7" x14ac:dyDescent="0.25">
      <c r="A941" s="4">
        <v>1</v>
      </c>
      <c r="B941" s="5">
        <v>14</v>
      </c>
      <c r="C941" s="6">
        <v>39080</v>
      </c>
      <c r="D941" s="7">
        <v>1493</v>
      </c>
      <c r="E941" s="8">
        <f>VLOOKUP(B941,T.productos!$A$1:$E$15,4,0)</f>
        <v>3.63</v>
      </c>
      <c r="F941" s="8">
        <f>VLOOKUP(B941,T.productos!$A$1:$E$15,5,0)</f>
        <v>3.2</v>
      </c>
      <c r="G941" s="9">
        <f t="shared" si="14"/>
        <v>0.1184573002754821</v>
      </c>
    </row>
    <row r="942" spans="1:7" x14ac:dyDescent="0.25">
      <c r="A942" s="4">
        <v>2</v>
      </c>
      <c r="B942" s="5">
        <v>1</v>
      </c>
      <c r="C942" s="6">
        <v>38734</v>
      </c>
      <c r="D942" s="7">
        <v>1953</v>
      </c>
      <c r="E942" s="8">
        <f>VLOOKUP(B942,T.productos!$A$1:$E$15,4,0)</f>
        <v>3.93</v>
      </c>
      <c r="F942" s="8">
        <f>VLOOKUP(B942,T.productos!$A$1:$E$15,5,0)</f>
        <v>3.4</v>
      </c>
      <c r="G942" s="9">
        <f t="shared" si="14"/>
        <v>0.13486005089058525</v>
      </c>
    </row>
    <row r="943" spans="1:7" x14ac:dyDescent="0.25">
      <c r="A943" s="4">
        <v>5</v>
      </c>
      <c r="B943" s="5">
        <v>14</v>
      </c>
      <c r="C943" s="6">
        <v>38528</v>
      </c>
      <c r="D943" s="7">
        <v>582</v>
      </c>
      <c r="E943" s="8">
        <f>VLOOKUP(B943,T.productos!$A$1:$E$15,4,0)</f>
        <v>3.63</v>
      </c>
      <c r="F943" s="8">
        <f>VLOOKUP(B943,T.productos!$A$1:$E$15,5,0)</f>
        <v>3.2</v>
      </c>
      <c r="G943" s="9">
        <f t="shared" si="14"/>
        <v>0.1184573002754821</v>
      </c>
    </row>
    <row r="944" spans="1:7" x14ac:dyDescent="0.25">
      <c r="A944" s="4">
        <v>2</v>
      </c>
      <c r="B944" s="5">
        <v>1</v>
      </c>
      <c r="C944" s="6">
        <v>39944</v>
      </c>
      <c r="D944" s="7">
        <v>340</v>
      </c>
      <c r="E944" s="8">
        <f>VLOOKUP(B944,T.productos!$A$1:$E$15,4,0)</f>
        <v>3.93</v>
      </c>
      <c r="F944" s="8">
        <f>VLOOKUP(B944,T.productos!$A$1:$E$15,5,0)</f>
        <v>3.4</v>
      </c>
      <c r="G944" s="9">
        <f t="shared" si="14"/>
        <v>0.13486005089058525</v>
      </c>
    </row>
    <row r="945" spans="1:7" x14ac:dyDescent="0.25">
      <c r="A945" s="4">
        <v>5</v>
      </c>
      <c r="B945" s="5">
        <v>13</v>
      </c>
      <c r="C945" s="6">
        <v>39725</v>
      </c>
      <c r="D945" s="7">
        <v>2040</v>
      </c>
      <c r="E945" s="8">
        <f>VLOOKUP(B945,T.productos!$A$1:$E$15,4,0)</f>
        <v>0.24</v>
      </c>
      <c r="F945" s="8">
        <f>VLOOKUP(B945,T.productos!$A$1:$E$15,5,0)</f>
        <v>0.12</v>
      </c>
      <c r="G945" s="9">
        <f t="shared" si="14"/>
        <v>0.5</v>
      </c>
    </row>
    <row r="946" spans="1:7" x14ac:dyDescent="0.25">
      <c r="A946" s="4">
        <v>4</v>
      </c>
      <c r="B946" s="5">
        <v>8</v>
      </c>
      <c r="C946" s="6">
        <v>38395</v>
      </c>
      <c r="D946" s="7">
        <v>597</v>
      </c>
      <c r="E946" s="8">
        <f>VLOOKUP(B946,T.productos!$A$1:$E$15,4,0)</f>
        <v>3.63</v>
      </c>
      <c r="F946" s="8">
        <f>VLOOKUP(B946,T.productos!$A$1:$E$15,5,0)</f>
        <v>3.35</v>
      </c>
      <c r="G946" s="9">
        <f t="shared" si="14"/>
        <v>7.7134986225895319E-2</v>
      </c>
    </row>
    <row r="947" spans="1:7" x14ac:dyDescent="0.25">
      <c r="A947" s="4">
        <v>4</v>
      </c>
      <c r="B947" s="5">
        <v>9</v>
      </c>
      <c r="C947" s="6">
        <v>39482</v>
      </c>
      <c r="D947" s="7">
        <v>1693</v>
      </c>
      <c r="E947" s="8">
        <f>VLOOKUP(B947,T.productos!$A$1:$E$15,4,0)</f>
        <v>1.21</v>
      </c>
      <c r="F947" s="8">
        <f>VLOOKUP(B947,T.productos!$A$1:$E$15,5,0)</f>
        <v>0.36</v>
      </c>
      <c r="G947" s="9">
        <f t="shared" si="14"/>
        <v>0.7024793388429752</v>
      </c>
    </row>
    <row r="948" spans="1:7" x14ac:dyDescent="0.25">
      <c r="A948" s="4">
        <v>5</v>
      </c>
      <c r="B948" s="5">
        <v>13</v>
      </c>
      <c r="C948" s="6">
        <v>39733</v>
      </c>
      <c r="D948" s="7">
        <v>2206</v>
      </c>
      <c r="E948" s="8">
        <f>VLOOKUP(B948,T.productos!$A$1:$E$15,4,0)</f>
        <v>0.24</v>
      </c>
      <c r="F948" s="8">
        <f>VLOOKUP(B948,T.productos!$A$1:$E$15,5,0)</f>
        <v>0.12</v>
      </c>
      <c r="G948" s="9">
        <f t="shared" si="14"/>
        <v>0.5</v>
      </c>
    </row>
    <row r="949" spans="1:7" x14ac:dyDescent="0.25">
      <c r="A949" s="4">
        <v>4</v>
      </c>
      <c r="B949" s="5">
        <v>14</v>
      </c>
      <c r="C949" s="6">
        <v>38501</v>
      </c>
      <c r="D949" s="7">
        <v>1512</v>
      </c>
      <c r="E949" s="8">
        <f>VLOOKUP(B949,T.productos!$A$1:$E$15,4,0)</f>
        <v>3.63</v>
      </c>
      <c r="F949" s="8">
        <f>VLOOKUP(B949,T.productos!$A$1:$E$15,5,0)</f>
        <v>3.2</v>
      </c>
      <c r="G949" s="9">
        <f t="shared" si="14"/>
        <v>0.1184573002754821</v>
      </c>
    </row>
    <row r="950" spans="1:7" x14ac:dyDescent="0.25">
      <c r="A950" s="4">
        <v>2</v>
      </c>
      <c r="B950" s="5">
        <v>7</v>
      </c>
      <c r="C950" s="6">
        <v>38091</v>
      </c>
      <c r="D950" s="7">
        <v>2524</v>
      </c>
      <c r="E950" s="8">
        <f>VLOOKUP(B950,T.productos!$A$1:$E$15,4,0)</f>
        <v>0.97</v>
      </c>
      <c r="F950" s="8">
        <f>VLOOKUP(B950,T.productos!$A$1:$E$15,5,0)</f>
        <v>0.19</v>
      </c>
      <c r="G950" s="9">
        <f t="shared" si="14"/>
        <v>0.80412371134020622</v>
      </c>
    </row>
    <row r="951" spans="1:7" x14ac:dyDescent="0.25">
      <c r="A951" s="4">
        <v>5</v>
      </c>
      <c r="B951" s="5">
        <v>8</v>
      </c>
      <c r="C951" s="6">
        <v>39776</v>
      </c>
      <c r="D951" s="7">
        <v>2809</v>
      </c>
      <c r="E951" s="8">
        <f>VLOOKUP(B951,T.productos!$A$1:$E$15,4,0)</f>
        <v>3.63</v>
      </c>
      <c r="F951" s="8">
        <f>VLOOKUP(B951,T.productos!$A$1:$E$15,5,0)</f>
        <v>3.35</v>
      </c>
      <c r="G951" s="9">
        <f t="shared" si="14"/>
        <v>7.7134986225895319E-2</v>
      </c>
    </row>
    <row r="952" spans="1:7" x14ac:dyDescent="0.25">
      <c r="A952" s="4">
        <v>2</v>
      </c>
      <c r="B952" s="5">
        <v>11</v>
      </c>
      <c r="C952" s="6">
        <v>38246</v>
      </c>
      <c r="D952" s="7">
        <v>787</v>
      </c>
      <c r="E952" s="8">
        <f>VLOOKUP(B952,T.productos!$A$1:$E$15,4,0)</f>
        <v>1.21</v>
      </c>
      <c r="F952" s="8">
        <f>VLOOKUP(B952,T.productos!$A$1:$E$15,5,0)</f>
        <v>0.72</v>
      </c>
      <c r="G952" s="9">
        <f t="shared" si="14"/>
        <v>0.4049586776859504</v>
      </c>
    </row>
    <row r="953" spans="1:7" x14ac:dyDescent="0.25">
      <c r="A953" s="4">
        <v>2</v>
      </c>
      <c r="B953" s="5">
        <v>9</v>
      </c>
      <c r="C953" s="6">
        <v>38145</v>
      </c>
      <c r="D953" s="7">
        <v>1187</v>
      </c>
      <c r="E953" s="8">
        <f>VLOOKUP(B953,T.productos!$A$1:$E$15,4,0)</f>
        <v>1.21</v>
      </c>
      <c r="F953" s="8">
        <f>VLOOKUP(B953,T.productos!$A$1:$E$15,5,0)</f>
        <v>0.36</v>
      </c>
      <c r="G953" s="9">
        <f t="shared" si="14"/>
        <v>0.7024793388429752</v>
      </c>
    </row>
    <row r="954" spans="1:7" x14ac:dyDescent="0.25">
      <c r="A954" s="4">
        <v>2</v>
      </c>
      <c r="B954" s="5">
        <v>10</v>
      </c>
      <c r="C954" s="6">
        <v>39173</v>
      </c>
      <c r="D954" s="7">
        <v>931</v>
      </c>
      <c r="E954" s="8">
        <f>VLOOKUP(B954,T.productos!$A$1:$E$15,4,0)</f>
        <v>0.61</v>
      </c>
      <c r="F954" s="8">
        <f>VLOOKUP(B954,T.productos!$A$1:$E$15,5,0)</f>
        <v>0.4</v>
      </c>
      <c r="G954" s="9">
        <f t="shared" si="14"/>
        <v>0.34426229508196721</v>
      </c>
    </row>
    <row r="955" spans="1:7" x14ac:dyDescent="0.25">
      <c r="A955" s="4">
        <v>2</v>
      </c>
      <c r="B955" s="5">
        <v>14</v>
      </c>
      <c r="C955" s="6">
        <v>38883</v>
      </c>
      <c r="D955" s="7">
        <v>1993</v>
      </c>
      <c r="E955" s="8">
        <f>VLOOKUP(B955,T.productos!$A$1:$E$15,4,0)</f>
        <v>3.63</v>
      </c>
      <c r="F955" s="8">
        <f>VLOOKUP(B955,T.productos!$A$1:$E$15,5,0)</f>
        <v>3.2</v>
      </c>
      <c r="G955" s="9">
        <f t="shared" si="14"/>
        <v>0.1184573002754821</v>
      </c>
    </row>
    <row r="956" spans="1:7" x14ac:dyDescent="0.25">
      <c r="A956" s="4">
        <v>2</v>
      </c>
      <c r="B956" s="5">
        <v>8</v>
      </c>
      <c r="C956" s="6">
        <v>38452</v>
      </c>
      <c r="D956" s="7">
        <v>1014</v>
      </c>
      <c r="E956" s="8">
        <f>VLOOKUP(B956,T.productos!$A$1:$E$15,4,0)</f>
        <v>3.63</v>
      </c>
      <c r="F956" s="8">
        <f>VLOOKUP(B956,T.productos!$A$1:$E$15,5,0)</f>
        <v>3.35</v>
      </c>
      <c r="G956" s="9">
        <f t="shared" si="14"/>
        <v>7.7134986225895319E-2</v>
      </c>
    </row>
    <row r="957" spans="1:7" x14ac:dyDescent="0.25">
      <c r="A957" s="4">
        <v>3</v>
      </c>
      <c r="B957" s="5">
        <v>11</v>
      </c>
      <c r="C957" s="6">
        <v>39382</v>
      </c>
      <c r="D957" s="7">
        <v>2063</v>
      </c>
      <c r="E957" s="8">
        <f>VLOOKUP(B957,T.productos!$A$1:$E$15,4,0)</f>
        <v>1.21</v>
      </c>
      <c r="F957" s="8">
        <f>VLOOKUP(B957,T.productos!$A$1:$E$15,5,0)</f>
        <v>0.72</v>
      </c>
      <c r="G957" s="9">
        <f t="shared" si="14"/>
        <v>0.4049586776859504</v>
      </c>
    </row>
    <row r="958" spans="1:7" x14ac:dyDescent="0.25">
      <c r="A958" s="4">
        <v>4</v>
      </c>
      <c r="B958" s="5">
        <v>11</v>
      </c>
      <c r="C958" s="6">
        <v>38089</v>
      </c>
      <c r="D958" s="7">
        <v>2060</v>
      </c>
      <c r="E958" s="8">
        <f>VLOOKUP(B958,T.productos!$A$1:$E$15,4,0)</f>
        <v>1.21</v>
      </c>
      <c r="F958" s="8">
        <f>VLOOKUP(B958,T.productos!$A$1:$E$15,5,0)</f>
        <v>0.72</v>
      </c>
      <c r="G958" s="9">
        <f t="shared" si="14"/>
        <v>0.4049586776859504</v>
      </c>
    </row>
    <row r="959" spans="1:7" x14ac:dyDescent="0.25">
      <c r="A959" s="4">
        <v>2</v>
      </c>
      <c r="B959" s="5">
        <v>7</v>
      </c>
      <c r="C959" s="6">
        <v>38103</v>
      </c>
      <c r="D959" s="7">
        <v>2899</v>
      </c>
      <c r="E959" s="8">
        <f>VLOOKUP(B959,T.productos!$A$1:$E$15,4,0)</f>
        <v>0.97</v>
      </c>
      <c r="F959" s="8">
        <f>VLOOKUP(B959,T.productos!$A$1:$E$15,5,0)</f>
        <v>0.19</v>
      </c>
      <c r="G959" s="9">
        <f t="shared" si="14"/>
        <v>0.80412371134020622</v>
      </c>
    </row>
    <row r="960" spans="1:7" x14ac:dyDescent="0.25">
      <c r="A960" s="4">
        <v>1</v>
      </c>
      <c r="B960" s="5">
        <v>6</v>
      </c>
      <c r="C960" s="6">
        <v>38105</v>
      </c>
      <c r="D960" s="7">
        <v>1622</v>
      </c>
      <c r="E960" s="8">
        <f>VLOOKUP(B960,T.productos!$A$1:$E$15,4,0)</f>
        <v>2.42</v>
      </c>
      <c r="F960" s="8">
        <f>VLOOKUP(B960,T.productos!$A$1:$E$15,5,0)</f>
        <v>2.2799999999999998</v>
      </c>
      <c r="G960" s="9">
        <f t="shared" si="14"/>
        <v>5.7851239669421489E-2</v>
      </c>
    </row>
    <row r="961" spans="1:7" x14ac:dyDescent="0.25">
      <c r="A961" s="4">
        <v>2</v>
      </c>
      <c r="B961" s="5">
        <v>3</v>
      </c>
      <c r="C961" s="6">
        <v>39173</v>
      </c>
      <c r="D961" s="7">
        <v>405</v>
      </c>
      <c r="E961" s="8">
        <f>VLOOKUP(B961,T.productos!$A$1:$E$15,4,0)</f>
        <v>1.94</v>
      </c>
      <c r="F961" s="8">
        <f>VLOOKUP(B961,T.productos!$A$1:$E$15,5,0)</f>
        <v>1.89</v>
      </c>
      <c r="G961" s="9">
        <f t="shared" si="14"/>
        <v>2.5773195876288658E-2</v>
      </c>
    </row>
    <row r="962" spans="1:7" x14ac:dyDescent="0.25">
      <c r="A962" s="4">
        <v>2</v>
      </c>
      <c r="B962" s="5">
        <v>8</v>
      </c>
      <c r="C962" s="6">
        <v>39050</v>
      </c>
      <c r="D962" s="7">
        <v>1233</v>
      </c>
      <c r="E962" s="8">
        <f>VLOOKUP(B962,T.productos!$A$1:$E$15,4,0)</f>
        <v>3.63</v>
      </c>
      <c r="F962" s="8">
        <f>VLOOKUP(B962,T.productos!$A$1:$E$15,5,0)</f>
        <v>3.35</v>
      </c>
      <c r="G962" s="9">
        <f t="shared" ref="G962:G1025" si="15">margen(D962,E962,F962)</f>
        <v>7.7134986225895319E-2</v>
      </c>
    </row>
    <row r="963" spans="1:7" x14ac:dyDescent="0.25">
      <c r="A963" s="4">
        <v>4</v>
      </c>
      <c r="B963" s="5">
        <v>14</v>
      </c>
      <c r="C963" s="6">
        <v>38213</v>
      </c>
      <c r="D963" s="7">
        <v>2772</v>
      </c>
      <c r="E963" s="8">
        <f>VLOOKUP(B963,T.productos!$A$1:$E$15,4,0)</f>
        <v>3.63</v>
      </c>
      <c r="F963" s="8">
        <f>VLOOKUP(B963,T.productos!$A$1:$E$15,5,0)</f>
        <v>3.2</v>
      </c>
      <c r="G963" s="9">
        <f t="shared" si="15"/>
        <v>0.1184573002754821</v>
      </c>
    </row>
    <row r="964" spans="1:7" x14ac:dyDescent="0.25">
      <c r="A964" s="4">
        <v>2</v>
      </c>
      <c r="B964" s="5">
        <v>3</v>
      </c>
      <c r="C964" s="6">
        <v>38858</v>
      </c>
      <c r="D964" s="7">
        <v>330</v>
      </c>
      <c r="E964" s="8">
        <f>VLOOKUP(B964,T.productos!$A$1:$E$15,4,0)</f>
        <v>1.94</v>
      </c>
      <c r="F964" s="8">
        <f>VLOOKUP(B964,T.productos!$A$1:$E$15,5,0)</f>
        <v>1.89</v>
      </c>
      <c r="G964" s="9">
        <f t="shared" si="15"/>
        <v>2.5773195876288658E-2</v>
      </c>
    </row>
    <row r="965" spans="1:7" x14ac:dyDescent="0.25">
      <c r="A965" s="4">
        <v>4</v>
      </c>
      <c r="B965" s="5">
        <v>6</v>
      </c>
      <c r="C965" s="6">
        <v>38542</v>
      </c>
      <c r="D965" s="7">
        <v>1438</v>
      </c>
      <c r="E965" s="8">
        <f>VLOOKUP(B965,T.productos!$A$1:$E$15,4,0)</f>
        <v>2.42</v>
      </c>
      <c r="F965" s="8">
        <f>VLOOKUP(B965,T.productos!$A$1:$E$15,5,0)</f>
        <v>2.2799999999999998</v>
      </c>
      <c r="G965" s="9">
        <f t="shared" si="15"/>
        <v>5.7851239669421489E-2</v>
      </c>
    </row>
    <row r="966" spans="1:7" x14ac:dyDescent="0.25">
      <c r="A966" s="4">
        <v>4</v>
      </c>
      <c r="B966" s="5">
        <v>14</v>
      </c>
      <c r="C966" s="6">
        <v>39800</v>
      </c>
      <c r="D966" s="7">
        <v>1927</v>
      </c>
      <c r="E966" s="8">
        <f>VLOOKUP(B966,T.productos!$A$1:$E$15,4,0)</f>
        <v>3.63</v>
      </c>
      <c r="F966" s="8">
        <f>VLOOKUP(B966,T.productos!$A$1:$E$15,5,0)</f>
        <v>3.2</v>
      </c>
      <c r="G966" s="9">
        <f t="shared" si="15"/>
        <v>0.1184573002754821</v>
      </c>
    </row>
    <row r="967" spans="1:7" x14ac:dyDescent="0.25">
      <c r="A967" s="4">
        <v>4</v>
      </c>
      <c r="B967" s="5">
        <v>7</v>
      </c>
      <c r="C967" s="6">
        <v>38412</v>
      </c>
      <c r="D967" s="7">
        <v>512</v>
      </c>
      <c r="E967" s="8">
        <f>VLOOKUP(B967,T.productos!$A$1:$E$15,4,0)</f>
        <v>0.97</v>
      </c>
      <c r="F967" s="8">
        <f>VLOOKUP(B967,T.productos!$A$1:$E$15,5,0)</f>
        <v>0.19</v>
      </c>
      <c r="G967" s="9">
        <f t="shared" si="15"/>
        <v>0.80412371134020622</v>
      </c>
    </row>
    <row r="968" spans="1:7" x14ac:dyDescent="0.25">
      <c r="A968" s="4">
        <v>3</v>
      </c>
      <c r="B968" s="5">
        <v>2</v>
      </c>
      <c r="C968" s="6">
        <v>39724</v>
      </c>
      <c r="D968" s="7">
        <v>1588</v>
      </c>
      <c r="E968" s="8">
        <f>VLOOKUP(B968,T.productos!$A$1:$E$15,4,0)</f>
        <v>1.63</v>
      </c>
      <c r="F968" s="8">
        <f>VLOOKUP(B968,T.productos!$A$1:$E$15,5,0)</f>
        <v>1.42</v>
      </c>
      <c r="G968" s="9">
        <f t="shared" si="15"/>
        <v>0.12883435582822086</v>
      </c>
    </row>
    <row r="969" spans="1:7" x14ac:dyDescent="0.25">
      <c r="A969" s="4">
        <v>2</v>
      </c>
      <c r="B969" s="5">
        <v>5</v>
      </c>
      <c r="C969" s="6">
        <v>38718</v>
      </c>
      <c r="D969" s="7">
        <v>454</v>
      </c>
      <c r="E969" s="8">
        <f>VLOOKUP(B969,T.productos!$A$1:$E$15,4,0)</f>
        <v>2.54</v>
      </c>
      <c r="F969" s="8">
        <f>VLOOKUP(B969,T.productos!$A$1:$E$15,5,0)</f>
        <v>2.2799999999999998</v>
      </c>
      <c r="G969" s="9">
        <f t="shared" si="15"/>
        <v>0.10236220472440945</v>
      </c>
    </row>
    <row r="970" spans="1:7" x14ac:dyDescent="0.25">
      <c r="A970" s="4">
        <v>3</v>
      </c>
      <c r="B970" s="5">
        <v>10</v>
      </c>
      <c r="C970" s="6">
        <v>38131</v>
      </c>
      <c r="D970" s="7">
        <v>1059</v>
      </c>
      <c r="E970" s="8">
        <f>VLOOKUP(B970,T.productos!$A$1:$E$15,4,0)</f>
        <v>0.61</v>
      </c>
      <c r="F970" s="8">
        <f>VLOOKUP(B970,T.productos!$A$1:$E$15,5,0)</f>
        <v>0.4</v>
      </c>
      <c r="G970" s="9">
        <f t="shared" si="15"/>
        <v>0.34426229508196721</v>
      </c>
    </row>
    <row r="971" spans="1:7" x14ac:dyDescent="0.25">
      <c r="A971" s="4">
        <v>2</v>
      </c>
      <c r="B971" s="5">
        <v>5</v>
      </c>
      <c r="C971" s="6">
        <v>39703</v>
      </c>
      <c r="D971" s="7">
        <v>674</v>
      </c>
      <c r="E971" s="8">
        <f>VLOOKUP(B971,T.productos!$A$1:$E$15,4,0)</f>
        <v>2.54</v>
      </c>
      <c r="F971" s="8">
        <f>VLOOKUP(B971,T.productos!$A$1:$E$15,5,0)</f>
        <v>2.2799999999999998</v>
      </c>
      <c r="G971" s="9">
        <f t="shared" si="15"/>
        <v>0.10236220472440945</v>
      </c>
    </row>
    <row r="972" spans="1:7" x14ac:dyDescent="0.25">
      <c r="A972" s="4">
        <v>5</v>
      </c>
      <c r="B972" s="5">
        <v>13</v>
      </c>
      <c r="C972" s="6">
        <v>39594</v>
      </c>
      <c r="D972" s="7">
        <v>346</v>
      </c>
      <c r="E972" s="8">
        <f>VLOOKUP(B972,T.productos!$A$1:$E$15,4,0)</f>
        <v>0.24</v>
      </c>
      <c r="F972" s="8">
        <f>VLOOKUP(B972,T.productos!$A$1:$E$15,5,0)</f>
        <v>0.12</v>
      </c>
      <c r="G972" s="9">
        <f t="shared" si="15"/>
        <v>0.5</v>
      </c>
    </row>
    <row r="973" spans="1:7" x14ac:dyDescent="0.25">
      <c r="A973" s="4">
        <v>1</v>
      </c>
      <c r="B973" s="5">
        <v>14</v>
      </c>
      <c r="C973" s="6">
        <v>39808</v>
      </c>
      <c r="D973" s="7">
        <v>2269</v>
      </c>
      <c r="E973" s="8">
        <f>VLOOKUP(B973,T.productos!$A$1:$E$15,4,0)</f>
        <v>3.63</v>
      </c>
      <c r="F973" s="8">
        <f>VLOOKUP(B973,T.productos!$A$1:$E$15,5,0)</f>
        <v>3.2</v>
      </c>
      <c r="G973" s="9">
        <f t="shared" si="15"/>
        <v>0.1184573002754821</v>
      </c>
    </row>
    <row r="974" spans="1:7" x14ac:dyDescent="0.25">
      <c r="A974" s="4">
        <v>3</v>
      </c>
      <c r="B974" s="5">
        <v>13</v>
      </c>
      <c r="C974" s="6">
        <v>38245</v>
      </c>
      <c r="D974" s="7">
        <v>2800</v>
      </c>
      <c r="E974" s="8">
        <f>VLOOKUP(B974,T.productos!$A$1:$E$15,4,0)</f>
        <v>0.24</v>
      </c>
      <c r="F974" s="8">
        <f>VLOOKUP(B974,T.productos!$A$1:$E$15,5,0)</f>
        <v>0.12</v>
      </c>
      <c r="G974" s="9">
        <f t="shared" si="15"/>
        <v>0.5</v>
      </c>
    </row>
    <row r="975" spans="1:7" x14ac:dyDescent="0.25">
      <c r="A975" s="4">
        <v>1</v>
      </c>
      <c r="B975" s="5">
        <v>13</v>
      </c>
      <c r="C975" s="6">
        <v>39504</v>
      </c>
      <c r="D975" s="7">
        <v>384</v>
      </c>
      <c r="E975" s="8">
        <f>VLOOKUP(B975,T.productos!$A$1:$E$15,4,0)</f>
        <v>0.24</v>
      </c>
      <c r="F975" s="8">
        <f>VLOOKUP(B975,T.productos!$A$1:$E$15,5,0)</f>
        <v>0.12</v>
      </c>
      <c r="G975" s="9">
        <f t="shared" si="15"/>
        <v>0.5</v>
      </c>
    </row>
    <row r="976" spans="1:7" x14ac:dyDescent="0.25">
      <c r="A976" s="4">
        <v>1</v>
      </c>
      <c r="B976" s="5">
        <v>10</v>
      </c>
      <c r="C976" s="6">
        <v>38274</v>
      </c>
      <c r="D976" s="7">
        <v>815</v>
      </c>
      <c r="E976" s="8">
        <f>VLOOKUP(B976,T.productos!$A$1:$E$15,4,0)</f>
        <v>0.61</v>
      </c>
      <c r="F976" s="8">
        <f>VLOOKUP(B976,T.productos!$A$1:$E$15,5,0)</f>
        <v>0.4</v>
      </c>
      <c r="G976" s="9">
        <f t="shared" si="15"/>
        <v>0.34426229508196721</v>
      </c>
    </row>
    <row r="977" spans="1:7" x14ac:dyDescent="0.25">
      <c r="A977" s="4">
        <v>4</v>
      </c>
      <c r="B977" s="5">
        <v>7</v>
      </c>
      <c r="C977" s="6">
        <v>39432</v>
      </c>
      <c r="D977" s="7">
        <v>1546</v>
      </c>
      <c r="E977" s="8">
        <f>VLOOKUP(B977,T.productos!$A$1:$E$15,4,0)</f>
        <v>0.97</v>
      </c>
      <c r="F977" s="8">
        <f>VLOOKUP(B977,T.productos!$A$1:$E$15,5,0)</f>
        <v>0.19</v>
      </c>
      <c r="G977" s="9">
        <f t="shared" si="15"/>
        <v>0.80412371134020622</v>
      </c>
    </row>
    <row r="978" spans="1:7" x14ac:dyDescent="0.25">
      <c r="A978" s="4">
        <v>4</v>
      </c>
      <c r="B978" s="5">
        <v>4</v>
      </c>
      <c r="C978" s="6">
        <v>39293</v>
      </c>
      <c r="D978" s="7">
        <v>2057</v>
      </c>
      <c r="E978" s="8">
        <f>VLOOKUP(B978,T.productos!$A$1:$E$15,4,0)</f>
        <v>0.61</v>
      </c>
      <c r="F978" s="8">
        <f>VLOOKUP(B978,T.productos!$A$1:$E$15,5,0)</f>
        <v>0.28999999999999998</v>
      </c>
      <c r="G978" s="9">
        <f t="shared" si="15"/>
        <v>0.52459016393442626</v>
      </c>
    </row>
    <row r="979" spans="1:7" x14ac:dyDescent="0.25">
      <c r="A979" s="4">
        <v>2</v>
      </c>
      <c r="B979" s="5">
        <v>2</v>
      </c>
      <c r="C979" s="6">
        <v>39202</v>
      </c>
      <c r="D979" s="7">
        <v>2608</v>
      </c>
      <c r="E979" s="8">
        <f>VLOOKUP(B979,T.productos!$A$1:$E$15,4,0)</f>
        <v>1.63</v>
      </c>
      <c r="F979" s="8">
        <f>VLOOKUP(B979,T.productos!$A$1:$E$15,5,0)</f>
        <v>1.42</v>
      </c>
      <c r="G979" s="9">
        <f t="shared" si="15"/>
        <v>0.12883435582822086</v>
      </c>
    </row>
    <row r="980" spans="1:7" x14ac:dyDescent="0.25">
      <c r="A980" s="4">
        <v>2</v>
      </c>
      <c r="B980" s="5">
        <v>12</v>
      </c>
      <c r="C980" s="6">
        <v>39338</v>
      </c>
      <c r="D980" s="7">
        <v>2222</v>
      </c>
      <c r="E980" s="8">
        <f>VLOOKUP(B980,T.productos!$A$1:$E$15,4,0)</f>
        <v>2.42</v>
      </c>
      <c r="F980" s="8">
        <f>VLOOKUP(B980,T.productos!$A$1:$E$15,5,0)</f>
        <v>1.68</v>
      </c>
      <c r="G980" s="9">
        <f t="shared" si="15"/>
        <v>0.30578512396694213</v>
      </c>
    </row>
    <row r="981" spans="1:7" x14ac:dyDescent="0.25">
      <c r="A981" s="4">
        <v>1</v>
      </c>
      <c r="B981" s="5">
        <v>4</v>
      </c>
      <c r="C981" s="6">
        <v>38331</v>
      </c>
      <c r="D981" s="7">
        <v>360</v>
      </c>
      <c r="E981" s="8">
        <f>VLOOKUP(B981,T.productos!$A$1:$E$15,4,0)</f>
        <v>0.61</v>
      </c>
      <c r="F981" s="8">
        <f>VLOOKUP(B981,T.productos!$A$1:$E$15,5,0)</f>
        <v>0.28999999999999998</v>
      </c>
      <c r="G981" s="9">
        <f t="shared" si="15"/>
        <v>0.52459016393442626</v>
      </c>
    </row>
    <row r="982" spans="1:7" x14ac:dyDescent="0.25">
      <c r="A982" s="4">
        <v>3</v>
      </c>
      <c r="B982" s="5">
        <v>4</v>
      </c>
      <c r="C982" s="6">
        <v>38209</v>
      </c>
      <c r="D982" s="7">
        <v>2676</v>
      </c>
      <c r="E982" s="8">
        <f>VLOOKUP(B982,T.productos!$A$1:$E$15,4,0)</f>
        <v>0.61</v>
      </c>
      <c r="F982" s="8">
        <f>VLOOKUP(B982,T.productos!$A$1:$E$15,5,0)</f>
        <v>0.28999999999999998</v>
      </c>
      <c r="G982" s="9">
        <f t="shared" si="15"/>
        <v>0.52459016393442626</v>
      </c>
    </row>
    <row r="983" spans="1:7" x14ac:dyDescent="0.25">
      <c r="A983" s="4">
        <v>3</v>
      </c>
      <c r="B983" s="5">
        <v>11</v>
      </c>
      <c r="C983" s="6">
        <v>38413</v>
      </c>
      <c r="D983" s="7">
        <v>664</v>
      </c>
      <c r="E983" s="8">
        <f>VLOOKUP(B983,T.productos!$A$1:$E$15,4,0)</f>
        <v>1.21</v>
      </c>
      <c r="F983" s="8">
        <f>VLOOKUP(B983,T.productos!$A$1:$E$15,5,0)</f>
        <v>0.72</v>
      </c>
      <c r="G983" s="9">
        <f t="shared" si="15"/>
        <v>0.4049586776859504</v>
      </c>
    </row>
    <row r="984" spans="1:7" x14ac:dyDescent="0.25">
      <c r="A984" s="4">
        <v>3</v>
      </c>
      <c r="B984" s="5">
        <v>7</v>
      </c>
      <c r="C984" s="6">
        <v>38905</v>
      </c>
      <c r="D984" s="7">
        <v>2681</v>
      </c>
      <c r="E984" s="8">
        <f>VLOOKUP(B984,T.productos!$A$1:$E$15,4,0)</f>
        <v>0.97</v>
      </c>
      <c r="F984" s="8">
        <f>VLOOKUP(B984,T.productos!$A$1:$E$15,5,0)</f>
        <v>0.19</v>
      </c>
      <c r="G984" s="9">
        <f t="shared" si="15"/>
        <v>0.80412371134020622</v>
      </c>
    </row>
    <row r="985" spans="1:7" x14ac:dyDescent="0.25">
      <c r="A985" s="4">
        <v>4</v>
      </c>
      <c r="B985" s="5">
        <v>14</v>
      </c>
      <c r="C985" s="6">
        <v>39302</v>
      </c>
      <c r="D985" s="7">
        <v>2237</v>
      </c>
      <c r="E985" s="8">
        <f>VLOOKUP(B985,T.productos!$A$1:$E$15,4,0)</f>
        <v>3.63</v>
      </c>
      <c r="F985" s="8">
        <f>VLOOKUP(B985,T.productos!$A$1:$E$15,5,0)</f>
        <v>3.2</v>
      </c>
      <c r="G985" s="9">
        <f t="shared" si="15"/>
        <v>0.1184573002754821</v>
      </c>
    </row>
    <row r="986" spans="1:7" x14ac:dyDescent="0.25">
      <c r="A986" s="4">
        <v>5</v>
      </c>
      <c r="B986" s="5">
        <v>10</v>
      </c>
      <c r="C986" s="6">
        <v>39573</v>
      </c>
      <c r="D986" s="7">
        <v>2534</v>
      </c>
      <c r="E986" s="8">
        <f>VLOOKUP(B986,T.productos!$A$1:$E$15,4,0)</f>
        <v>0.61</v>
      </c>
      <c r="F986" s="8">
        <f>VLOOKUP(B986,T.productos!$A$1:$E$15,5,0)</f>
        <v>0.4</v>
      </c>
      <c r="G986" s="9">
        <f t="shared" si="15"/>
        <v>0.34426229508196721</v>
      </c>
    </row>
    <row r="987" spans="1:7" x14ac:dyDescent="0.25">
      <c r="A987" s="4">
        <v>4</v>
      </c>
      <c r="B987" s="5">
        <v>6</v>
      </c>
      <c r="C987" s="6">
        <v>39736</v>
      </c>
      <c r="D987" s="7">
        <v>370</v>
      </c>
      <c r="E987" s="8">
        <f>VLOOKUP(B987,T.productos!$A$1:$E$15,4,0)</f>
        <v>2.42</v>
      </c>
      <c r="F987" s="8">
        <f>VLOOKUP(B987,T.productos!$A$1:$E$15,5,0)</f>
        <v>2.2799999999999998</v>
      </c>
      <c r="G987" s="9">
        <f t="shared" si="15"/>
        <v>5.7851239669421489E-2</v>
      </c>
    </row>
    <row r="988" spans="1:7" x14ac:dyDescent="0.25">
      <c r="A988" s="4">
        <v>3</v>
      </c>
      <c r="B988" s="5">
        <v>14</v>
      </c>
      <c r="C988" s="6">
        <v>38262</v>
      </c>
      <c r="D988" s="7">
        <v>1679</v>
      </c>
      <c r="E988" s="8">
        <f>VLOOKUP(B988,T.productos!$A$1:$E$15,4,0)</f>
        <v>3.63</v>
      </c>
      <c r="F988" s="8">
        <f>VLOOKUP(B988,T.productos!$A$1:$E$15,5,0)</f>
        <v>3.2</v>
      </c>
      <c r="G988" s="9">
        <f t="shared" si="15"/>
        <v>0.1184573002754821</v>
      </c>
    </row>
    <row r="989" spans="1:7" x14ac:dyDescent="0.25">
      <c r="A989" s="4">
        <v>3</v>
      </c>
      <c r="B989" s="5">
        <v>11</v>
      </c>
      <c r="C989" s="6">
        <v>38075</v>
      </c>
      <c r="D989" s="7">
        <v>1885</v>
      </c>
      <c r="E989" s="8">
        <f>VLOOKUP(B989,T.productos!$A$1:$E$15,4,0)</f>
        <v>1.21</v>
      </c>
      <c r="F989" s="8">
        <f>VLOOKUP(B989,T.productos!$A$1:$E$15,5,0)</f>
        <v>0.72</v>
      </c>
      <c r="G989" s="9">
        <f t="shared" si="15"/>
        <v>0.4049586776859504</v>
      </c>
    </row>
    <row r="990" spans="1:7" x14ac:dyDescent="0.25">
      <c r="A990" s="4">
        <v>2</v>
      </c>
      <c r="B990" s="5">
        <v>13</v>
      </c>
      <c r="C990" s="6">
        <v>39567</v>
      </c>
      <c r="D990" s="7">
        <v>717</v>
      </c>
      <c r="E990" s="8">
        <f>VLOOKUP(B990,T.productos!$A$1:$E$15,4,0)</f>
        <v>0.24</v>
      </c>
      <c r="F990" s="8">
        <f>VLOOKUP(B990,T.productos!$A$1:$E$15,5,0)</f>
        <v>0.12</v>
      </c>
      <c r="G990" s="9">
        <f t="shared" si="15"/>
        <v>0.5</v>
      </c>
    </row>
    <row r="991" spans="1:7" x14ac:dyDescent="0.25">
      <c r="A991" s="4">
        <v>1</v>
      </c>
      <c r="B991" s="5">
        <v>6</v>
      </c>
      <c r="C991" s="6">
        <v>38438</v>
      </c>
      <c r="D991" s="7">
        <v>2126</v>
      </c>
      <c r="E991" s="8">
        <f>VLOOKUP(B991,T.productos!$A$1:$E$15,4,0)</f>
        <v>2.42</v>
      </c>
      <c r="F991" s="8">
        <f>VLOOKUP(B991,T.productos!$A$1:$E$15,5,0)</f>
        <v>2.2799999999999998</v>
      </c>
      <c r="G991" s="9">
        <f t="shared" si="15"/>
        <v>5.7851239669421489E-2</v>
      </c>
    </row>
    <row r="992" spans="1:7" x14ac:dyDescent="0.25">
      <c r="A992" s="4">
        <v>1</v>
      </c>
      <c r="B992" s="5">
        <v>1</v>
      </c>
      <c r="C992" s="6">
        <v>38723</v>
      </c>
      <c r="D992" s="7">
        <v>1360</v>
      </c>
      <c r="E992" s="8">
        <f>VLOOKUP(B992,T.productos!$A$1:$E$15,4,0)</f>
        <v>3.93</v>
      </c>
      <c r="F992" s="8">
        <f>VLOOKUP(B992,T.productos!$A$1:$E$15,5,0)</f>
        <v>3.4</v>
      </c>
      <c r="G992" s="9">
        <f t="shared" si="15"/>
        <v>0.13486005089058525</v>
      </c>
    </row>
    <row r="993" spans="1:7" x14ac:dyDescent="0.25">
      <c r="A993" s="4">
        <v>1</v>
      </c>
      <c r="B993" s="5">
        <v>12</v>
      </c>
      <c r="C993" s="6">
        <v>39809</v>
      </c>
      <c r="D993" s="7">
        <v>1117</v>
      </c>
      <c r="E993" s="8">
        <f>VLOOKUP(B993,T.productos!$A$1:$E$15,4,0)</f>
        <v>2.42</v>
      </c>
      <c r="F993" s="8">
        <f>VLOOKUP(B993,T.productos!$A$1:$E$15,5,0)</f>
        <v>1.68</v>
      </c>
      <c r="G993" s="9">
        <f t="shared" si="15"/>
        <v>0.30578512396694213</v>
      </c>
    </row>
    <row r="994" spans="1:7" x14ac:dyDescent="0.25">
      <c r="A994" s="4">
        <v>3</v>
      </c>
      <c r="B994" s="5">
        <v>3</v>
      </c>
      <c r="C994" s="6">
        <v>38958</v>
      </c>
      <c r="D994" s="7">
        <v>2010</v>
      </c>
      <c r="E994" s="8">
        <f>VLOOKUP(B994,T.productos!$A$1:$E$15,4,0)</f>
        <v>1.94</v>
      </c>
      <c r="F994" s="8">
        <f>VLOOKUP(B994,T.productos!$A$1:$E$15,5,0)</f>
        <v>1.89</v>
      </c>
      <c r="G994" s="9">
        <f t="shared" si="15"/>
        <v>2.5773195876288658E-2</v>
      </c>
    </row>
    <row r="995" spans="1:7" x14ac:dyDescent="0.25">
      <c r="A995" s="4">
        <v>5</v>
      </c>
      <c r="B995" s="5">
        <v>4</v>
      </c>
      <c r="C995" s="6">
        <v>39855</v>
      </c>
      <c r="D995" s="7">
        <v>1904</v>
      </c>
      <c r="E995" s="8">
        <f>VLOOKUP(B995,T.productos!$A$1:$E$15,4,0)</f>
        <v>0.61</v>
      </c>
      <c r="F995" s="8">
        <f>VLOOKUP(B995,T.productos!$A$1:$E$15,5,0)</f>
        <v>0.28999999999999998</v>
      </c>
      <c r="G995" s="9">
        <f t="shared" si="15"/>
        <v>0.52459016393442626</v>
      </c>
    </row>
    <row r="996" spans="1:7" x14ac:dyDescent="0.25">
      <c r="A996" s="4">
        <v>3</v>
      </c>
      <c r="B996" s="5">
        <v>2</v>
      </c>
      <c r="C996" s="6">
        <v>39066</v>
      </c>
      <c r="D996" s="7">
        <v>1684</v>
      </c>
      <c r="E996" s="8">
        <f>VLOOKUP(B996,T.productos!$A$1:$E$15,4,0)</f>
        <v>1.63</v>
      </c>
      <c r="F996" s="8">
        <f>VLOOKUP(B996,T.productos!$A$1:$E$15,5,0)</f>
        <v>1.42</v>
      </c>
      <c r="G996" s="9">
        <f t="shared" si="15"/>
        <v>0.12883435582822086</v>
      </c>
    </row>
    <row r="997" spans="1:7" x14ac:dyDescent="0.25">
      <c r="A997" s="4">
        <v>4</v>
      </c>
      <c r="B997" s="5">
        <v>6</v>
      </c>
      <c r="C997" s="6">
        <v>39103</v>
      </c>
      <c r="D997" s="7">
        <v>2190</v>
      </c>
      <c r="E997" s="8">
        <f>VLOOKUP(B997,T.productos!$A$1:$E$15,4,0)</f>
        <v>2.42</v>
      </c>
      <c r="F997" s="8">
        <f>VLOOKUP(B997,T.productos!$A$1:$E$15,5,0)</f>
        <v>2.2799999999999998</v>
      </c>
      <c r="G997" s="9">
        <f t="shared" si="15"/>
        <v>5.7851239669421489E-2</v>
      </c>
    </row>
    <row r="998" spans="1:7" x14ac:dyDescent="0.25">
      <c r="A998" s="4">
        <v>5</v>
      </c>
      <c r="B998" s="5">
        <v>12</v>
      </c>
      <c r="C998" s="6">
        <v>38180</v>
      </c>
      <c r="D998" s="7">
        <v>2476</v>
      </c>
      <c r="E998" s="8">
        <f>VLOOKUP(B998,T.productos!$A$1:$E$15,4,0)</f>
        <v>2.42</v>
      </c>
      <c r="F998" s="8">
        <f>VLOOKUP(B998,T.productos!$A$1:$E$15,5,0)</f>
        <v>1.68</v>
      </c>
      <c r="G998" s="9">
        <f t="shared" si="15"/>
        <v>0.30578512396694213</v>
      </c>
    </row>
    <row r="999" spans="1:7" x14ac:dyDescent="0.25">
      <c r="A999" s="4">
        <v>4</v>
      </c>
      <c r="B999" s="5">
        <v>14</v>
      </c>
      <c r="C999" s="6">
        <v>38982</v>
      </c>
      <c r="D999" s="7">
        <v>1096</v>
      </c>
      <c r="E999" s="8">
        <f>VLOOKUP(B999,T.productos!$A$1:$E$15,4,0)</f>
        <v>3.63</v>
      </c>
      <c r="F999" s="8">
        <f>VLOOKUP(B999,T.productos!$A$1:$E$15,5,0)</f>
        <v>3.2</v>
      </c>
      <c r="G999" s="9">
        <f t="shared" si="15"/>
        <v>0.1184573002754821</v>
      </c>
    </row>
    <row r="1000" spans="1:7" x14ac:dyDescent="0.25">
      <c r="A1000" s="4">
        <v>4</v>
      </c>
      <c r="B1000" s="5">
        <v>8</v>
      </c>
      <c r="C1000" s="6">
        <v>38021</v>
      </c>
      <c r="D1000" s="7">
        <v>2649</v>
      </c>
      <c r="E1000" s="8">
        <f>VLOOKUP(B1000,T.productos!$A$1:$E$15,4,0)</f>
        <v>3.63</v>
      </c>
      <c r="F1000" s="8">
        <f>VLOOKUP(B1000,T.productos!$A$1:$E$15,5,0)</f>
        <v>3.35</v>
      </c>
      <c r="G1000" s="9">
        <f t="shared" si="15"/>
        <v>7.7134986225895319E-2</v>
      </c>
    </row>
    <row r="1001" spans="1:7" x14ac:dyDescent="0.25">
      <c r="A1001" s="4">
        <v>3</v>
      </c>
      <c r="B1001" s="5">
        <v>12</v>
      </c>
      <c r="C1001" s="6">
        <v>38101</v>
      </c>
      <c r="D1001" s="7">
        <v>2312</v>
      </c>
      <c r="E1001" s="8">
        <f>VLOOKUP(B1001,T.productos!$A$1:$E$15,4,0)</f>
        <v>2.42</v>
      </c>
      <c r="F1001" s="8">
        <f>VLOOKUP(B1001,T.productos!$A$1:$E$15,5,0)</f>
        <v>1.68</v>
      </c>
      <c r="G1001" s="9">
        <f t="shared" si="15"/>
        <v>0.30578512396694213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solucion">
                <anchor moveWithCells="1" sizeWithCells="1">
                  <from>
                    <xdr:col>8</xdr:col>
                    <xdr:colOff>190500</xdr:colOff>
                    <xdr:row>3</xdr:row>
                    <xdr:rowOff>114300</xdr:rowOff>
                  </from>
                  <to>
                    <xdr:col>9</xdr:col>
                    <xdr:colOff>523875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6088F-04D9-4E99-A109-59FE84D965A9}">
  <sheetPr codeName="Hoja2"/>
  <dimension ref="A1:E15"/>
  <sheetViews>
    <sheetView workbookViewId="0">
      <selection activeCell="A13" sqref="A13"/>
    </sheetView>
  </sheetViews>
  <sheetFormatPr baseColWidth="10" defaultRowHeight="15" x14ac:dyDescent="0.25"/>
  <cols>
    <col min="1" max="1" width="12.85546875" customWidth="1"/>
    <col min="2" max="2" width="15.42578125" customWidth="1"/>
  </cols>
  <sheetData>
    <row r="1" spans="1:5" x14ac:dyDescent="0.25">
      <c r="A1" t="s">
        <v>7</v>
      </c>
      <c r="B1" t="s">
        <v>8</v>
      </c>
      <c r="C1" t="s">
        <v>9</v>
      </c>
      <c r="D1" t="s">
        <v>3</v>
      </c>
      <c r="E1" t="s">
        <v>4</v>
      </c>
    </row>
    <row r="2" spans="1:5" x14ac:dyDescent="0.25">
      <c r="A2">
        <v>1</v>
      </c>
      <c r="B2" t="s">
        <v>10</v>
      </c>
      <c r="C2">
        <v>1</v>
      </c>
      <c r="D2">
        <v>3.93</v>
      </c>
      <c r="E2">
        <v>3.4</v>
      </c>
    </row>
    <row r="3" spans="1:5" x14ac:dyDescent="0.25">
      <c r="A3">
        <v>2</v>
      </c>
      <c r="B3" t="s">
        <v>11</v>
      </c>
      <c r="C3">
        <v>2</v>
      </c>
      <c r="D3">
        <v>1.63</v>
      </c>
      <c r="E3">
        <v>1.42</v>
      </c>
    </row>
    <row r="4" spans="1:5" x14ac:dyDescent="0.25">
      <c r="A4">
        <v>3</v>
      </c>
      <c r="B4" t="s">
        <v>12</v>
      </c>
      <c r="C4">
        <v>1</v>
      </c>
      <c r="D4">
        <v>1.94</v>
      </c>
      <c r="E4">
        <v>1.89</v>
      </c>
    </row>
    <row r="5" spans="1:5" x14ac:dyDescent="0.25">
      <c r="A5">
        <v>4</v>
      </c>
      <c r="B5" t="s">
        <v>13</v>
      </c>
      <c r="C5">
        <v>2</v>
      </c>
      <c r="D5">
        <v>0.61</v>
      </c>
      <c r="E5">
        <v>0.28999999999999998</v>
      </c>
    </row>
    <row r="6" spans="1:5" x14ac:dyDescent="0.25">
      <c r="A6">
        <v>5</v>
      </c>
      <c r="B6" t="s">
        <v>14</v>
      </c>
      <c r="C6">
        <v>3</v>
      </c>
      <c r="D6">
        <v>2.54</v>
      </c>
      <c r="E6">
        <v>2.2799999999999998</v>
      </c>
    </row>
    <row r="7" spans="1:5" x14ac:dyDescent="0.25">
      <c r="A7">
        <v>6</v>
      </c>
      <c r="B7" t="s">
        <v>15</v>
      </c>
      <c r="C7">
        <v>1</v>
      </c>
      <c r="D7">
        <v>2.42</v>
      </c>
      <c r="E7">
        <v>2.2799999999999998</v>
      </c>
    </row>
    <row r="8" spans="1:5" x14ac:dyDescent="0.25">
      <c r="A8">
        <v>7</v>
      </c>
      <c r="B8" t="s">
        <v>16</v>
      </c>
      <c r="C8">
        <v>2</v>
      </c>
      <c r="D8">
        <v>0.97</v>
      </c>
      <c r="E8">
        <v>0.19</v>
      </c>
    </row>
    <row r="9" spans="1:5" x14ac:dyDescent="0.25">
      <c r="A9">
        <v>8</v>
      </c>
      <c r="B9" t="s">
        <v>17</v>
      </c>
      <c r="C9">
        <v>1</v>
      </c>
      <c r="D9">
        <v>3.63</v>
      </c>
      <c r="E9">
        <v>3.35</v>
      </c>
    </row>
    <row r="10" spans="1:5" x14ac:dyDescent="0.25">
      <c r="A10">
        <v>9</v>
      </c>
      <c r="B10" t="s">
        <v>18</v>
      </c>
      <c r="C10">
        <v>3</v>
      </c>
      <c r="D10">
        <v>1.21</v>
      </c>
      <c r="E10">
        <v>0.36</v>
      </c>
    </row>
    <row r="11" spans="1:5" x14ac:dyDescent="0.25">
      <c r="A11">
        <v>10</v>
      </c>
      <c r="B11" t="s">
        <v>19</v>
      </c>
      <c r="C11">
        <v>3</v>
      </c>
      <c r="D11">
        <v>0.61</v>
      </c>
      <c r="E11">
        <v>0.4</v>
      </c>
    </row>
    <row r="12" spans="1:5" x14ac:dyDescent="0.25">
      <c r="A12">
        <f>+A11+1</f>
        <v>11</v>
      </c>
      <c r="B12" t="s">
        <v>20</v>
      </c>
      <c r="C12">
        <v>1</v>
      </c>
      <c r="D12">
        <v>1.21</v>
      </c>
      <c r="E12">
        <v>0.72</v>
      </c>
    </row>
    <row r="13" spans="1:5" x14ac:dyDescent="0.25">
      <c r="A13">
        <v>12</v>
      </c>
      <c r="B13" t="s">
        <v>21</v>
      </c>
      <c r="C13">
        <v>1</v>
      </c>
      <c r="D13">
        <v>2.42</v>
      </c>
      <c r="E13">
        <v>1.68</v>
      </c>
    </row>
    <row r="14" spans="1:5" x14ac:dyDescent="0.25">
      <c r="A14">
        <v>13</v>
      </c>
      <c r="B14" t="s">
        <v>22</v>
      </c>
      <c r="C14">
        <v>3</v>
      </c>
      <c r="D14">
        <v>0.24</v>
      </c>
      <c r="E14">
        <v>0.12</v>
      </c>
    </row>
    <row r="15" spans="1:5" x14ac:dyDescent="0.25">
      <c r="A15">
        <v>14</v>
      </c>
      <c r="B15" t="s">
        <v>23</v>
      </c>
      <c r="C15">
        <v>1</v>
      </c>
      <c r="D15">
        <v>3.63</v>
      </c>
      <c r="E15">
        <v>3.2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T.ventas</vt:lpstr>
      <vt:lpstr>T.productos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2021-12-08T18:33:16Z</dcterms:created>
  <dcterms:modified xsi:type="dcterms:W3CDTF">2021-12-08T19:54:40Z</dcterms:modified>
</cp:coreProperties>
</file>